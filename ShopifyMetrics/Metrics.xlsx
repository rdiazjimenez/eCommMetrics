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Nube\Github\ECommMetrics\ShopifyMetrics\"/>
    </mc:Choice>
  </mc:AlternateContent>
  <xr:revisionPtr revIDLastSave="0" documentId="13_ncr:1_{313DF93C-656E-459E-8E9C-5A32675F5567}" xr6:coauthVersionLast="47" xr6:coauthVersionMax="47" xr10:uidLastSave="{00000000-0000-0000-0000-000000000000}"/>
  <bookViews>
    <workbookView xWindow="-120" yWindow="-120" windowWidth="29040" windowHeight="15720" activeTab="2" xr2:uid="{B8EB5B81-DD2D-4EA1-A9F8-511E4FF44B36}"/>
  </bookViews>
  <sheets>
    <sheet name="Blank" sheetId="1" r:id="rId1"/>
    <sheet name="ExGraphQL_SalesBasic" sheetId="4" state="veryHidden" r:id="rId2"/>
    <sheet name="ExSalesBreakdownByPeriod" sheetId="7" r:id="rId3"/>
    <sheet name="Params" sheetId="2" r:id="rId4"/>
    <sheet name="Dummy" sheetId="6" r:id="rId5"/>
    <sheet name="AccessToken" sheetId="3" state="hidden" r:id="rId6"/>
  </sheets>
  <definedNames>
    <definedName name="ExternalData_1" localSheetId="2" hidden="1">ExSalesBreakdownByPeriod!$A$1:$V$745</definedName>
    <definedName name="ParamAccessToken">AccessToken!$C$2</definedName>
    <definedName name="ParamApiVersion">Params!$C$5</definedName>
    <definedName name="ParamReportEndDate">Params!$C$9</definedName>
    <definedName name="ParamReportRefreshDate">Params!$C$13</definedName>
    <definedName name="ParamReportStartDate">Params!$C$8</definedName>
    <definedName name="ParamReportWeekStartDay">Params!$C$11</definedName>
    <definedName name="ParamShopName">Params!$C$4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8" i="2" l="1"/>
  <c r="C9" i="2"/>
  <c r="C8" i="2" s="1"/>
  <c r="C13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F084DB-3849-46DD-B87B-16A22C2662A8}" keepAlive="1" name="Query - ExGraphQL_SalesBasic" description="Connection to the 'ExGraphQL_SalesBasic' query in the workbook." type="5" refreshedVersion="0" background="1" saveData="1">
    <dbPr connection="Provider=Microsoft.Mashup.OleDb.1;Data Source=$Workbook$;Location=ExGraphQL_SalesBasic;Extended Properties=&quot;&quot;" command="SELECT * FROM [ExGraphQL_SalesBasic]"/>
  </connection>
  <connection id="2" xr16:uid="{F11C919A-B4F9-4881-BE9E-BDD33CF35850}" keepAlive="1" name="Query - ExSalesBreakdownByPeriod" description="Connection to the 'ExSalesBreakdownByPeriod' query in the workbook." type="5" refreshedVersion="8" background="1" saveData="1">
    <dbPr connection="Provider=Microsoft.Mashup.OleDb.1;Data Source=$Workbook$;Location=ExSalesBreakdownByPeriod;Extended Properties=&quot;&quot;" command="SELECT * FROM [ExSalesBreakdownByPeriod]"/>
  </connection>
  <connection id="3" xr16:uid="{8CA4FF59-3C9C-492D-A811-66B7AA73D538}" keepAlive="1" name="Query - ExShopifyQL_SalesBasic" description="Connection to the 'ExShopifyQL_SalesBasic' query in the workbook." type="5" refreshedVersion="0" background="1" saveData="1">
    <dbPr connection="Provider=Microsoft.Mashup.OleDb.1;Data Source=$Workbook$;Location=ExShopifyQL_SalesBasic;Extended Properties=&quot;&quot;" command="SELECT * FROM [ExShopifyQL_SalesBasic]"/>
  </connection>
  <connection id="4" xr16:uid="{7E471819-34B4-47E4-AD37-6A8321DCE478}" keepAlive="1" name="Query - fnGetDatesInPeriod(1)" description="Connection to the 'fnGetDatesInPeriod' query in the workbook." type="5" refreshedVersion="0" background="1">
    <dbPr connection="Provider=Microsoft.Mashup.OleDb.1;Data Source=$Workbook$;Location=fnGetDatesInPeriod;Extended Properties=&quot;&quot;" command="SELECT * FROM [fnGetDatesInPeriod]"/>
  </connection>
  <connection id="5" xr16:uid="{4D0499BC-D196-4095-A551-658EC2AEAFCE}" keepAlive="1" name="Query - fnGetSalesBreakdownByPeriod(1)" description="Connection to the 'fnGetSalesBreakdownByPeriod' query in the workbook." type="5" refreshedVersion="0" background="1">
    <dbPr connection="Provider=Microsoft.Mashup.OleDb.1;Data Source=$Workbook$;Location=fnGetSalesBreakdownByPeriod;Extended Properties=&quot;&quot;" command="SELECT * FROM [fnGetSalesBreakdownByPeriod]"/>
  </connection>
  <connection id="6" xr16:uid="{62A1FE1A-C7D5-465B-8831-1EE0D1E4C0C6}" keepAlive="1" name="Query - fnShopifyGraphQL(1)" description="Connection to the 'fnShopifyGraphQL' query in the workbook." type="5" refreshedVersion="0" background="1">
    <dbPr connection="Provider=Microsoft.Mashup.OleDb.1;Data Source=$Workbook$;Location=fnShopifyGraphQL;Extended Properties=&quot;&quot;" command="SELECT * FROM [fnShopifyGraphQL]"/>
  </connection>
  <connection id="7" xr16:uid="{8D7EB16E-0926-45C2-BC84-A67547B2A7D4}" keepAlive="1" name="Query - fnShopifyQL(1)" description="Connection to the 'fnShopifyQL' query in the workbook." type="5" refreshedVersion="0" background="1">
    <dbPr connection="Provider=Microsoft.Mashup.OleDb.1;Data Source=$Workbook$;Location=fnShopifyQL;Extended Properties=&quot;&quot;" command="SELECT * FROM [fnShopifyQL]"/>
  </connection>
  <connection id="8" xr16:uid="{58E7239C-0428-41B2-A4A4-6C4D8E2FCA1D}" keepAlive="1" name="Query - LibPQ" description="Connection to the 'LibPQ' query in the workbook." type="5" refreshedVersion="0" background="1">
    <dbPr connection="Provider=Microsoft.Mashup.OleDb.1;Data Source=$Workbook$;Location=LibPQ;Extended Properties=&quot;&quot;" command="SELECT * FROM [LibPQ]"/>
  </connection>
  <connection id="9" xr16:uid="{845A9C5E-61DA-4283-83B6-3BB332046456}" keepAlive="1" name="Query - LibPQPath" description="Connection to the 'LibPQPath' query in the workbook." type="5" refreshedVersion="0" background="1">
    <dbPr connection="Provider=Microsoft.Mashup.OleDb.1;Data Source=$Workbook$;Location=LibPQPath;Extended Properties=&quot;&quot;" command="SELECT * FROM [LibPQPath]"/>
  </connection>
  <connection id="10" xr16:uid="{F2735EDF-AF8A-4A58-85DE-98ADCD5DF87F}" keepAlive="1" name="Query - ParamAccessToken" description="Connection to the 'ParamAccessToken' query in the workbook." type="5" refreshedVersion="0" background="1">
    <dbPr connection="Provider=Microsoft.Mashup.OleDb.1;Data Source=$Workbook$;Location=ParamAccessToken;Extended Properties=&quot;&quot;" command="SELECT * FROM [ParamAccessToken]"/>
  </connection>
  <connection id="11" xr16:uid="{87C444DA-7CFF-4B6A-95B2-879F0664EE65}" keepAlive="1" name="Query - ParamApiVersion" description="Connection to the 'ParamApiVersion' query in the workbook." type="5" refreshedVersion="0" background="1">
    <dbPr connection="Provider=Microsoft.Mashup.OleDb.1;Data Source=$Workbook$;Location=ParamApiVersion;Extended Properties=&quot;&quot;" command="SELECT * FROM [ParamApiVersion]"/>
  </connection>
  <connection id="12" xr16:uid="{A749AE36-AF4F-4EAD-9873-D42550725EBB}" keepAlive="1" name="Query - ParamGraphQLQueryString(1)" description="Connection to the 'ParamGraphQLQueryString' query in the workbook." type="5" refreshedVersion="0" background="1">
    <dbPr connection="Provider=Microsoft.Mashup.OleDb.1;Data Source=$Workbook$;Location=ParamGraphQLQueryString;Extended Properties=&quot;&quot;" command="SELECT * FROM [ParamGraphQLQueryString]"/>
  </connection>
  <connection id="13" xr16:uid="{E42A2564-0A07-4213-80C7-7BC5DC595221}" keepAlive="1" name="Query - ParamGroupByField(1)" description="Connection to the 'ParamGroupByField' query in the workbook." type="5" refreshedVersion="0" background="1">
    <dbPr connection="Provider=Microsoft.Mashup.OleDb.1;Data Source=$Workbook$;Location=ParamGroupByField;Extended Properties=&quot;&quot;" command="SELECT * FROM [ParamGroupByField]"/>
  </connection>
  <connection id="14" xr16:uid="{10990272-E2A6-4A2B-8220-D9AB36C21CD1}" keepAlive="1" name="Query - ParamHistoricalTable(1)" description="Connection to the 'ParamHistoricalTable' query in the workbook." type="5" refreshedVersion="0" background="1">
    <dbPr connection="Provider=Microsoft.Mashup.OleDb.1;Data Source=$Workbook$;Location=ParamHistoricalTable;Extended Properties=&quot;&quot;" command="SELECT * FROM [ParamHistoricalTable]"/>
  </connection>
  <connection id="15" xr16:uid="{50D163D8-D5A5-4C95-9E4C-6B4CD18C247B}" keepAlive="1" name="Query - ParamReportEndDate" description="Connection to the 'ParamReportEndDate' query in the workbook." type="5" refreshedVersion="0" background="1">
    <dbPr connection="Provider=Microsoft.Mashup.OleDb.1;Data Source=$Workbook$;Location=ParamReportEndDate;Extended Properties=&quot;&quot;" command="SELECT * FROM [ParamReportEndDate]"/>
  </connection>
  <connection id="16" xr16:uid="{7EE0042E-D3AC-4E33-B889-2C0C2CBA58CF}" keepAlive="1" name="Query - ParamReportRefreshDate" description="Connection to the 'ParamReportRefreshDate' query in the workbook." type="5" refreshedVersion="0" background="1">
    <dbPr connection="Provider=Microsoft.Mashup.OleDb.1;Data Source=$Workbook$;Location=ParamReportRefreshDate;Extended Properties=&quot;&quot;" command="SELECT * FROM [ParamReportRefreshDate]"/>
  </connection>
  <connection id="17" xr16:uid="{4364814B-18A1-4258-9AE0-7BF02732854F}" keepAlive="1" name="Query - ParamReportStartDate" description="Connection to the 'ParamReportStartDate' query in the workbook." type="5" refreshedVersion="0" background="1">
    <dbPr connection="Provider=Microsoft.Mashup.OleDb.1;Data Source=$Workbook$;Location=ParamReportStartDate;Extended Properties=&quot;&quot;" command="SELECT * FROM [ParamReportStartDate]"/>
  </connection>
  <connection id="18" xr16:uid="{80D44F0F-81B1-42D4-9A6E-D230EB1A032F}" keepAlive="1" name="Query - ParamReportWeekStartDay" description="Connection to the 'ParamReportWeekStartDay' query in the workbook." type="5" refreshedVersion="0" background="1">
    <dbPr connection="Provider=Microsoft.Mashup.OleDb.1;Data Source=$Workbook$;Location=ParamReportWeekStartDay;Extended Properties=&quot;&quot;" command="SELECT * FROM [ParamReportWeekStartDay]"/>
  </connection>
  <connection id="19" xr16:uid="{3F4B4B54-D039-40CB-A925-B4D9EC86E34A}" keepAlive="1" name="Query - ParamShopifyQLQuery(1)" description="Connection to the 'ParamShopifyQLQuery' query in the workbook." type="5" refreshedVersion="0" background="1">
    <dbPr connection="Provider=Microsoft.Mashup.OleDb.1;Data Source=$Workbook$;Location=ParamShopifyQLQuery;Extended Properties=&quot;&quot;" command="SELECT * FROM [ParamShopifyQLQuery]"/>
  </connection>
  <connection id="20" xr16:uid="{19AA73B6-7D74-4B87-9CAD-A86E98E64F3F}" keepAlive="1" name="Query - ParamShopName" description="Connection to the 'ParamShopName' query in the workbook." type="5" refreshedVersion="0" background="1">
    <dbPr connection="Provider=Microsoft.Mashup.OleDb.1;Data Source=$Workbook$;Location=ParamShopName;Extended Properties=&quot;&quot;" command="SELECT * FROM [ParamShopName]"/>
  </connection>
  <connection id="21" xr16:uid="{6E2ADCDC-127B-491C-8983-C5374A876C6B}" keepAlive="1" name="Query - qGetDatesInPeriod" description="Connection to the 'qGetDatesInPeriod' query in the workbook." type="5" refreshedVersion="0" background="1">
    <dbPr connection="Provider=Microsoft.Mashup.OleDb.1;Data Source=$Workbook$;Location=qGetDatesInPeriod;Extended Properties=&quot;&quot;" command="SELECT * FROM [qGetDatesInPeriod]"/>
  </connection>
  <connection id="22" xr16:uid="{AC6991D1-3C81-49E6-8E71-F09D9CC76276}" keepAlive="1" name="Query - qGetSalesBreakdownByPeriod" description="Connection to the 'qGetSalesBreakdownByPeriod' query in the workbook." type="5" refreshedVersion="0" background="1">
    <dbPr connection="Provider=Microsoft.Mashup.OleDb.1;Data Source=$Workbook$;Location=qGetSalesBreakdownByPeriod;Extended Properties=&quot;&quot;" command="SELECT * FROM [qGetSalesBreakdownByPeriod]"/>
  </connection>
  <connection id="23" xr16:uid="{615C2F10-C38C-40A7-AD09-E5E17A4797D4}" keepAlive="1" name="Query - qShopifyGraphQL" description="Connection to the 'qShopifyGraphQL' query in the workbook." type="5" refreshedVersion="0" background="1">
    <dbPr connection="Provider=Microsoft.Mashup.OleDb.1;Data Source=$Workbook$;Location=qShopifyGraphQL;Extended Properties=&quot;&quot;" command="SELECT * FROM [qShopifyGraphQL]"/>
  </connection>
  <connection id="24" xr16:uid="{C01DD6B5-FCE9-4A29-A179-7926E3E7788D}" keepAlive="1" name="Query - qShopifyQL" description="Connection to the 'qShopifyQL' query in the workbook." type="5" refreshedVersion="0" background="1">
    <dbPr connection="Provider=Microsoft.Mashup.OleDb.1;Data Source=$Workbook$;Location=qShopifyQL;Extended Properties=&quot;&quot;" command="SELECT * FROM [qShopifyQL]"/>
  </connection>
</connections>
</file>

<file path=xl/sharedStrings.xml><?xml version="1.0" encoding="utf-8"?>
<sst xmlns="http://schemas.openxmlformats.org/spreadsheetml/2006/main" count="39" uniqueCount="39">
  <si>
    <t>Parámetros</t>
  </si>
  <si>
    <t>shopName</t>
  </si>
  <si>
    <t>escribana</t>
  </si>
  <si>
    <t>accessToken</t>
  </si>
  <si>
    <t>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</t>
  </si>
  <si>
    <t>Api version</t>
  </si>
  <si>
    <t>2026-04</t>
  </si>
  <si>
    <t>Fecha inicial reportes</t>
  </si>
  <si>
    <t>Fecha final reportes</t>
  </si>
  <si>
    <t>Día de reporte semanal</t>
  </si>
  <si>
    <t>lunes = 5</t>
  </si>
  <si>
    <t>Fecha refrescar histórico</t>
  </si>
  <si>
    <t>Day</t>
  </si>
  <si>
    <t>Week</t>
  </si>
  <si>
    <t>Month</t>
  </si>
  <si>
    <t>day</t>
  </si>
  <si>
    <t>orders</t>
  </si>
  <si>
    <t>quantity_ordered_per_order</t>
  </si>
  <si>
    <t>average_order_value</t>
  </si>
  <si>
    <t>quantity_returned</t>
  </si>
  <si>
    <t>gross_sales</t>
  </si>
  <si>
    <t>discounts</t>
  </si>
  <si>
    <t>sales_reversals</t>
  </si>
  <si>
    <t>net_sales</t>
  </si>
  <si>
    <t>shipping_charges</t>
  </si>
  <si>
    <t>return_fees</t>
  </si>
  <si>
    <t>taxes</t>
  </si>
  <si>
    <t>total_sales</t>
  </si>
  <si>
    <t>net_sales_without_cost_recorded</t>
  </si>
  <si>
    <t>net_sales_with_cost_recorded</t>
  </si>
  <si>
    <t>cost_of_goods_sold</t>
  </si>
  <si>
    <t>gross_profit</t>
  </si>
  <si>
    <t>gift_card_gross_sales</t>
  </si>
  <si>
    <t>net_items_sold</t>
  </si>
  <si>
    <t>gift_card_discounts</t>
  </si>
  <si>
    <t>gift_card_net_sales</t>
  </si>
  <si>
    <t>refresh_date_SalesBreakdown</t>
  </si>
  <si>
    <t>Fecha en que la cia empezó a operar →</t>
  </si>
  <si>
    <t>Año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</si>
</sst>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4">
    <numFmt numFmtId="41" formatCode="_(* #,##0_);_(* \(#,##0\);_(* &quot;-&quot;_);_(@_)"/>
    <numFmt numFmtId="43" formatCode="_(* #,##0.00_);_(* \(#,##0.00\);_(* &quot;-&quot;??_);_(@_)"/>
    <numFmt numFmtId="164" formatCode="_(###0_);\(###0\);_(&quot;-&quot;_);_)@_)"/>
    <numFmt numFmtId="165" formatCode="_)d\-mmm\-yy\ h:mm_);_)d\-mmm\-yy\ h:mm_);_)&quot;-&quot;_);_)@_)"/>
    <numFmt numFmtId="166" formatCode="_)mmmm\-yyyy_);_)mmmm\-yyyy_);_)&quot;-&quot;_);_)@_)"/>
    <numFmt numFmtId="167" formatCode="_)d\-mmm\-yy_);_)d\-mmm\-yy_);_)&quot;-&quot;_);_)@_)"/>
    <numFmt numFmtId="168" formatCode="_(#,##0.00_);\(#,##0.00\);_(&quot;-&quot;_);_)@_)"/>
    <numFmt numFmtId="169" formatCode="_(&quot;$&quot;#,##0.0_);\(&quot;$&quot;#,##0.0\);_(&quot;-&quot;_);_)@_)"/>
    <numFmt numFmtId="170" formatCode="_(#,##0.0\x_);\(#,##0.0\x\);_(&quot;-&quot;_);_)@_)"/>
    <numFmt numFmtId="171" formatCode="_(#,##0.0_);\(#,##0.0\);_(&quot;-&quot;_);_)@_)"/>
    <numFmt numFmtId="172" formatCode="_(#,##0_);\(#,##0\);_(&quot;-&quot;_);_)@_)"/>
    <numFmt numFmtId="173" formatCode="_(#,##0.00%_);\(#,##0.00%\);_(&quot;-&quot;_);_)@_)"/>
    <numFmt numFmtId="174" formatCode="_ * #,##0_ ;_ * \-#,##0_ ;_ * &quot;-&quot;_ ;_ @_ "/>
    <numFmt numFmtId="175" formatCode="_(#,##0.0%_);\(#,##0.0%\);_(&quot;-&quot;_);_)@_)"/>
  </numFmts>
  <fonts count="48" x14ac:knownFonts="1">
    <font>
      <sz val="9"/>
      <color theme="1" tint="0.2499465926084170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 tint="0.24994659260841701"/>
      <name val="Calibri"/>
      <family val="2"/>
      <scheme val="minor"/>
    </font>
    <font>
      <sz val="9"/>
      <color theme="0"/>
      <name val="Calibri"/>
      <family val="2"/>
      <scheme val="minor"/>
    </font>
    <font>
      <sz val="9"/>
      <color theme="6" tint="-0.24994659260841701"/>
      <name val="Calibri"/>
      <family val="2"/>
      <scheme val="minor"/>
    </font>
    <font>
      <sz val="9"/>
      <color theme="4" tint="-0.49995422223578601"/>
      <name val="Calibri"/>
      <family val="2"/>
      <scheme val="minor"/>
    </font>
    <font>
      <sz val="9"/>
      <color theme="8" tint="-0.24994659260841701"/>
      <name val="Calibri"/>
      <family val="2"/>
      <scheme val="minor"/>
    </font>
    <font>
      <sz val="9"/>
      <color rgb="FF9C5700"/>
      <name val="Calibri"/>
      <family val="2"/>
      <scheme val="minor"/>
    </font>
    <font>
      <sz val="9"/>
      <color rgb="FF9C0006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FA7D0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0"/>
      <name val="Trebuchet MS"/>
      <family val="2"/>
    </font>
    <font>
      <b/>
      <sz val="10"/>
      <color theme="1"/>
      <name val="Calibri Light"/>
      <family val="2"/>
      <scheme val="major"/>
    </font>
    <font>
      <sz val="10"/>
      <color theme="1"/>
      <name val="Calibri Light"/>
      <family val="2"/>
      <scheme val="major"/>
    </font>
    <font>
      <b/>
      <sz val="11"/>
      <color theme="5" tint="-0.499984740745262"/>
      <name val="Calibri Light"/>
      <family val="2"/>
      <scheme val="major"/>
    </font>
    <font>
      <b/>
      <sz val="10"/>
      <color theme="5" tint="-0.499984740745262"/>
      <name val="Calibri Light"/>
      <family val="2"/>
      <scheme val="major"/>
    </font>
    <font>
      <b/>
      <sz val="10"/>
      <color theme="5" tint="-0.24994659260841701"/>
      <name val="Calibri Light"/>
      <family val="2"/>
      <scheme val="major"/>
    </font>
    <font>
      <b/>
      <sz val="9"/>
      <color theme="5" tint="-0.24994659260841701"/>
      <name val="Calibri Light"/>
      <family val="2"/>
      <scheme val="major"/>
    </font>
    <font>
      <b/>
      <sz val="9"/>
      <color theme="1" tint="0.24994659260841701"/>
      <name val="Calibri Light"/>
      <family val="2"/>
      <scheme val="major"/>
    </font>
    <font>
      <b/>
      <sz val="9"/>
      <color theme="2" tint="-0.499984740745262"/>
      <name val="Calibri Light"/>
      <family val="2"/>
      <scheme val="major"/>
    </font>
    <font>
      <sz val="9"/>
      <color theme="2" tint="-0.499984740745262"/>
      <name val="Calibri Light"/>
      <family val="2"/>
      <scheme val="major"/>
    </font>
    <font>
      <i/>
      <sz val="9"/>
      <color theme="2" tint="-0.499984740745262"/>
      <name val="Calibri Light"/>
      <family val="2"/>
      <scheme val="major"/>
    </font>
    <font>
      <sz val="9"/>
      <color theme="0"/>
      <name val="Calibri Light"/>
      <family val="2"/>
      <scheme val="major"/>
    </font>
    <font>
      <b/>
      <sz val="9"/>
      <color theme="4" tint="-0.49995422223578601"/>
      <name val="Calibri Light"/>
      <family val="2"/>
      <scheme val="major"/>
    </font>
    <font>
      <sz val="9"/>
      <color theme="1" tint="0.24994659260841701"/>
      <name val="Calibri Light"/>
      <family val="2"/>
      <scheme val="major"/>
    </font>
    <font>
      <i/>
      <sz val="9"/>
      <color rgb="FF7F7F7F"/>
      <name val="Calibri"/>
      <family val="2"/>
      <scheme val="minor"/>
    </font>
    <font>
      <u/>
      <sz val="9"/>
      <color theme="11"/>
      <name val="Calibri"/>
      <family val="2"/>
      <scheme val="minor"/>
    </font>
    <font>
      <sz val="9"/>
      <color rgb="FF006100"/>
      <name val="Calibri"/>
      <family val="2"/>
      <scheme val="minor"/>
    </font>
    <font>
      <b/>
      <sz val="9"/>
      <color theme="3"/>
      <name val="Calibri"/>
      <family val="2"/>
      <scheme val="minor"/>
    </font>
    <font>
      <sz val="9"/>
      <color theme="11"/>
      <name val="Wingdings"/>
      <charset val="2"/>
    </font>
    <font>
      <sz val="9"/>
      <color rgb="FF3F3F76"/>
      <name val="Calibri"/>
      <family val="2"/>
      <scheme val="minor"/>
    </font>
    <font>
      <sz val="9"/>
      <color rgb="FFFA7D00"/>
      <name val="Calibri"/>
      <family val="2"/>
      <scheme val="minor"/>
    </font>
    <font>
      <sz val="10"/>
      <name val="Arial"/>
      <family val="2"/>
    </font>
    <font>
      <b/>
      <sz val="10"/>
      <color theme="1" tint="0.24994659260841701"/>
      <name val="Calibri Light"/>
      <family val="2"/>
      <scheme val="major"/>
    </font>
    <font>
      <b/>
      <sz val="9"/>
      <color rgb="FF3F3F3F"/>
      <name val="Calibri"/>
      <family val="2"/>
      <scheme val="minor"/>
    </font>
    <font>
      <b/>
      <sz val="14"/>
      <color theme="1" tint="0.24994659260841701"/>
      <name val="Calibri Light"/>
      <family val="2"/>
      <scheme val="major"/>
    </font>
    <font>
      <sz val="18"/>
      <color theme="1" tint="0.24994659260841701"/>
      <name val="Calibri Light"/>
      <family val="2"/>
      <scheme val="major"/>
    </font>
    <font>
      <b/>
      <sz val="12"/>
      <color theme="1" tint="0.24994659260841701"/>
      <name val="Calibri Light"/>
      <family val="2"/>
      <scheme val="major"/>
    </font>
    <font>
      <sz val="24"/>
      <color theme="3"/>
      <name val="Trebuchet MS"/>
      <family val="2"/>
    </font>
    <font>
      <b/>
      <sz val="11"/>
      <color theme="1" tint="0.24994659260841701"/>
      <name val="Calibri Light"/>
      <family val="2"/>
      <scheme val="major"/>
    </font>
    <font>
      <sz val="9"/>
      <color rgb="FFFF0000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450666829432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6" tint="0.39994506668294322"/>
      </left>
      <right style="thin">
        <color theme="6" tint="0.39994506668294322"/>
      </right>
      <top style="thin">
        <color theme="6" tint="0.39994506668294322"/>
      </top>
      <bottom style="thin">
        <color theme="6" tint="0.39994506668294322"/>
      </bottom>
      <diagonal/>
    </border>
    <border>
      <left style="thin">
        <color theme="5" tint="0.39994506668294322"/>
      </left>
      <right style="thin">
        <color theme="5" tint="0.39994506668294322"/>
      </right>
      <top style="thin">
        <color theme="5" tint="0.39994506668294322"/>
      </top>
      <bottom style="thin">
        <color theme="5" tint="0.39994506668294322"/>
      </bottom>
      <diagonal/>
    </border>
    <border>
      <left style="thin">
        <color theme="8" tint="0.39994506668294322"/>
      </left>
      <right style="thin">
        <color theme="8" tint="0.39994506668294322"/>
      </right>
      <top style="thin">
        <color theme="8" tint="0.39994506668294322"/>
      </top>
      <bottom style="thin">
        <color theme="8" tint="0.39994506668294322"/>
      </bottom>
      <diagonal/>
    </border>
    <border>
      <left style="thin">
        <color theme="5" tint="-0.24994659260841701"/>
      </left>
      <right style="thin">
        <color theme="5" tint="-0.24994659260841701"/>
      </right>
      <top style="thin">
        <color theme="5" tint="-0.24994659260841701"/>
      </top>
      <bottom style="thin">
        <color theme="5" tint="-0.24994659260841701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theme="4" tint="-0.4999542222357860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-0.24994659260841701"/>
      </left>
      <right style="thin">
        <color theme="4" tint="-0.24994659260841701"/>
      </right>
      <top style="thin">
        <color theme="4" tint="-0.24994659260841701"/>
      </top>
      <bottom style="thin">
        <color theme="4" tint="-0.24994659260841701"/>
      </bottom>
      <diagonal/>
    </border>
    <border>
      <left style="thin">
        <color theme="4" tint="0.39994506668294322"/>
      </left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</borders>
  <cellStyleXfs count="180">
    <xf numFmtId="0" fontId="0" fillId="0" borderId="0"/>
    <xf numFmtId="0" fontId="45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35" fillId="0" borderId="3" applyNumberFormat="0" applyFill="0" applyAlignment="0" applyProtection="0"/>
    <xf numFmtId="0" fontId="35" fillId="0" borderId="0" applyNumberFormat="0" applyFill="0" applyBorder="0" applyAlignment="0" applyProtection="0"/>
    <xf numFmtId="0" fontId="34" fillId="2" borderId="0" applyNumberFormat="0" applyBorder="0" applyAlignment="0" applyProtection="0"/>
    <xf numFmtId="0" fontId="13" fillId="3" borderId="0" applyNumberFormat="0" applyBorder="0" applyAlignment="0" applyProtection="0"/>
    <xf numFmtId="0" fontId="12" fillId="4" borderId="0" applyNumberFormat="0" applyBorder="0" applyAlignment="0" applyProtection="0"/>
    <xf numFmtId="0" fontId="37" fillId="5" borderId="4" applyNumberFormat="0" applyAlignment="0" applyProtection="0"/>
    <xf numFmtId="0" fontId="41" fillId="6" borderId="5" applyNumberFormat="0" applyAlignment="0" applyProtection="0"/>
    <xf numFmtId="0" fontId="16" fillId="6" borderId="4" applyNumberFormat="0" applyAlignment="0" applyProtection="0"/>
    <xf numFmtId="0" fontId="38" fillId="0" borderId="6" applyNumberFormat="0" applyFill="0" applyAlignment="0" applyProtection="0"/>
    <xf numFmtId="0" fontId="17" fillId="7" borderId="7" applyNumberFormat="0" applyAlignment="0" applyProtection="0"/>
    <xf numFmtId="0" fontId="47" fillId="0" borderId="0" applyNumberFormat="0" applyFill="0" applyBorder="0" applyAlignment="0" applyProtection="0"/>
    <xf numFmtId="0" fontId="6" fillId="8" borderId="8" applyNumberFormat="0" applyAlignment="0" applyProtection="0"/>
    <xf numFmtId="0" fontId="32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8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8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8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6" fillId="20" borderId="0" applyNumberFormat="0" applyBorder="0" applyAlignment="0" applyProtection="0"/>
    <xf numFmtId="0" fontId="8" fillId="21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6" fillId="24" borderId="0" applyNumberFormat="0" applyBorder="0" applyAlignment="0" applyProtection="0"/>
    <xf numFmtId="0" fontId="8" fillId="25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6" fillId="32" borderId="0" applyNumberFormat="0" applyBorder="0" applyAlignment="0" applyProtection="0"/>
    <xf numFmtId="0" fontId="8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6" fillId="14" borderId="0" applyNumberFormat="0" applyBorder="0" applyAlignment="0" applyProtection="0"/>
    <xf numFmtId="0" fontId="6" fillId="18" borderId="0" applyNumberFormat="0" applyBorder="0" applyAlignment="0" applyProtection="0"/>
    <xf numFmtId="0" fontId="6" fillId="22" borderId="0" applyNumberFormat="0" applyBorder="0" applyAlignment="0" applyProtection="0"/>
    <xf numFmtId="0" fontId="6" fillId="26" borderId="0" applyNumberFormat="0" applyBorder="0" applyAlignment="0" applyProtection="0"/>
    <xf numFmtId="0" fontId="6" fillId="29" borderId="0" applyNumberFormat="0" applyBorder="0" applyAlignment="0" applyProtection="0"/>
    <xf numFmtId="0" fontId="6" fillId="11" borderId="0" applyNumberFormat="0" applyBorder="0" applyAlignment="0" applyProtection="0"/>
    <xf numFmtId="0" fontId="6" fillId="15" borderId="0" applyNumberFormat="0" applyBorder="0" applyAlignment="0" applyProtection="0"/>
    <xf numFmtId="0" fontId="6" fillId="19" borderId="0" applyNumberFormat="0" applyBorder="0" applyAlignment="0" applyProtection="0"/>
    <xf numFmtId="0" fontId="6" fillId="23" borderId="0" applyNumberFormat="0" applyBorder="0" applyAlignment="0" applyProtection="0"/>
    <xf numFmtId="0" fontId="6" fillId="27" borderId="0" applyNumberFormat="0" applyBorder="0" applyAlignment="0" applyProtection="0"/>
    <xf numFmtId="0" fontId="6" fillId="30" borderId="0" applyNumberFormat="0" applyBorder="0" applyAlignment="0" applyProtection="0"/>
    <xf numFmtId="0" fontId="6" fillId="12" borderId="0" applyNumberFormat="0" applyBorder="0" applyAlignment="0" applyProtection="0"/>
    <xf numFmtId="0" fontId="6" fillId="16" borderId="0" applyNumberFormat="0" applyBorder="0" applyAlignment="0" applyProtection="0"/>
    <xf numFmtId="0" fontId="6" fillId="20" borderId="0" applyNumberFormat="0" applyBorder="0" applyAlignment="0" applyProtection="0"/>
    <xf numFmtId="0" fontId="6" fillId="24" borderId="0" applyNumberFormat="0" applyBorder="0" applyAlignment="0" applyProtection="0"/>
    <xf numFmtId="0" fontId="6" fillId="32" borderId="0" applyNumberFormat="0" applyBorder="0" applyAlignment="0" applyProtection="0"/>
    <xf numFmtId="0" fontId="6" fillId="31" borderId="0" applyNumberFormat="0" applyBorder="0" applyAlignment="0" applyProtection="0"/>
    <xf numFmtId="164" fontId="7" fillId="0" borderId="0" applyFill="0" applyBorder="0">
      <alignment vertical="center"/>
    </xf>
    <xf numFmtId="165" fontId="7" fillId="0" borderId="0" applyFill="0" applyBorder="0">
      <alignment vertical="center"/>
    </xf>
    <xf numFmtId="166" fontId="7" fillId="0" borderId="0" applyFill="0" applyBorder="0">
      <alignment vertical="center"/>
    </xf>
    <xf numFmtId="167" fontId="7" fillId="0" borderId="0" applyFill="0" applyBorder="0">
      <alignment vertical="center"/>
    </xf>
    <xf numFmtId="168" fontId="7" fillId="0" borderId="0" applyFill="0" applyBorder="0">
      <alignment vertical="center"/>
    </xf>
    <xf numFmtId="169" fontId="7" fillId="0" borderId="0" applyFill="0" applyBorder="0">
      <alignment vertical="center"/>
    </xf>
    <xf numFmtId="170" fontId="7" fillId="0" borderId="0" applyFill="0" applyBorder="0">
      <alignment vertical="center"/>
    </xf>
    <xf numFmtId="171" fontId="7" fillId="0" borderId="0" applyFill="0" applyBorder="0">
      <alignment vertical="center"/>
    </xf>
    <xf numFmtId="171" fontId="7" fillId="0" borderId="0" applyFill="0" applyBorder="0">
      <alignment vertical="center"/>
    </xf>
    <xf numFmtId="172" fontId="7" fillId="0" borderId="0" applyFill="0" applyBorder="0">
      <alignment vertical="center"/>
    </xf>
    <xf numFmtId="173" fontId="7" fillId="0" borderId="0" applyFill="0" applyBorder="0">
      <alignment vertical="center"/>
    </xf>
    <xf numFmtId="0" fontId="7" fillId="33" borderId="0" applyNumberFormat="0" applyBorder="0">
      <alignment vertical="top"/>
    </xf>
    <xf numFmtId="0" fontId="9" fillId="34" borderId="10" applyNumberFormat="0">
      <alignment vertical="center"/>
    </xf>
    <xf numFmtId="0" fontId="9" fillId="34" borderId="10" applyNumberFormat="0">
      <alignment vertical="center"/>
    </xf>
    <xf numFmtId="0" fontId="9" fillId="34" borderId="10" applyNumberFormat="0" applyAlignment="0">
      <alignment vertical="center"/>
    </xf>
    <xf numFmtId="0" fontId="10" fillId="35" borderId="11" applyNumberFormat="0">
      <alignment vertical="center"/>
      <protection locked="0"/>
    </xf>
    <xf numFmtId="0" fontId="10" fillId="35" borderId="11" applyNumberFormat="0">
      <alignment vertical="center"/>
      <protection locked="0"/>
    </xf>
    <xf numFmtId="0" fontId="10" fillId="35" borderId="11" applyNumberFormat="0" applyAlignment="0">
      <alignment vertical="center"/>
      <protection locked="0"/>
    </xf>
    <xf numFmtId="0" fontId="11" fillId="36" borderId="12" applyNumberFormat="0">
      <alignment vertical="center"/>
    </xf>
    <xf numFmtId="0" fontId="10" fillId="37" borderId="13" applyNumberFormat="0">
      <alignment vertical="center"/>
      <protection locked="0"/>
    </xf>
    <xf numFmtId="0" fontId="12" fillId="38" borderId="14" applyNumberFormat="0" applyFont="0" applyAlignment="0" applyProtection="0"/>
    <xf numFmtId="0" fontId="5" fillId="0" borderId="9" applyNumberFormat="0" applyFill="0" applyAlignment="0" applyProtection="0"/>
    <xf numFmtId="0" fontId="14" fillId="0" borderId="9" applyFill="0" applyAlignment="0" applyProtection="0"/>
    <xf numFmtId="0" fontId="15" fillId="0" borderId="15" applyNumberFormat="0" applyFill="0" applyAlignment="0" applyProtection="0"/>
    <xf numFmtId="0" fontId="17" fillId="7" borderId="7" applyNumberFormat="0" applyAlignment="0" applyProtection="0"/>
    <xf numFmtId="41" fontId="2" fillId="0" borderId="0" applyFont="0" applyFill="0" applyBorder="0" applyAlignment="0" applyProtection="0"/>
    <xf numFmtId="41" fontId="7" fillId="0" borderId="0" applyFont="0" applyFill="0" applyBorder="0" applyAlignment="0" applyProtection="0"/>
    <xf numFmtId="0" fontId="18" fillId="39" borderId="0" applyBorder="0">
      <alignment vertical="center"/>
    </xf>
    <xf numFmtId="0" fontId="8" fillId="39" borderId="0" applyBorder="0">
      <alignment vertical="center"/>
    </xf>
    <xf numFmtId="0" fontId="19" fillId="40" borderId="16" applyAlignment="0"/>
    <xf numFmtId="0" fontId="20" fillId="40" borderId="16" applyAlignment="0"/>
    <xf numFmtId="0" fontId="21" fillId="0" borderId="0" applyBorder="0">
      <alignment vertical="center"/>
    </xf>
    <xf numFmtId="0" fontId="22" fillId="0" borderId="0" applyBorder="0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25" fillId="0" borderId="0" applyFill="0" applyBorder="0">
      <alignment vertical="center"/>
    </xf>
    <xf numFmtId="0" fontId="26" fillId="0" borderId="0" applyFill="0" applyBorder="0">
      <alignment vertical="center"/>
    </xf>
    <xf numFmtId="0" fontId="27" fillId="0" borderId="0" applyFill="0" applyBorder="0">
      <alignment vertical="center"/>
    </xf>
    <xf numFmtId="0" fontId="28" fillId="0" borderId="0" applyNumberFormat="0" applyFill="0" applyBorder="0">
      <alignment vertical="center"/>
    </xf>
    <xf numFmtId="0" fontId="29" fillId="41" borderId="0" applyBorder="0">
      <alignment vertical="center"/>
    </xf>
    <xf numFmtId="0" fontId="30" fillId="35" borderId="17">
      <alignment vertical="center"/>
    </xf>
    <xf numFmtId="0" fontId="30" fillId="42" borderId="17">
      <alignment vertical="center"/>
    </xf>
    <xf numFmtId="0" fontId="25" fillId="0" borderId="0" applyFill="0" applyBorder="0">
      <alignment vertical="center"/>
    </xf>
    <xf numFmtId="0" fontId="31" fillId="0" borderId="0" applyFill="0" applyBorder="0">
      <alignment vertical="center"/>
    </xf>
    <xf numFmtId="0" fontId="32" fillId="0" borderId="0" applyNumberFormat="0" applyFill="0" applyBorder="0" applyAlignment="0" applyProtection="0"/>
    <xf numFmtId="167" fontId="7" fillId="0" borderId="0" applyFill="0" applyBorder="0">
      <alignment vertical="center"/>
    </xf>
    <xf numFmtId="0" fontId="34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35" fillId="0" borderId="3" applyNumberFormat="0" applyFill="0" applyAlignment="0" applyProtection="0"/>
    <xf numFmtId="0" fontId="35" fillId="0" borderId="0" applyNumberFormat="0" applyFill="0" applyBorder="0" applyAlignment="0" applyProtection="0"/>
    <xf numFmtId="0" fontId="36" fillId="0" borderId="0" applyFill="0" applyBorder="0">
      <alignment horizontal="center" vertical="center"/>
    </xf>
    <xf numFmtId="0" fontId="33" fillId="0" borderId="0" applyFill="0" applyBorder="0">
      <alignment vertical="center"/>
    </xf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174" fontId="39" fillId="0" borderId="0" applyFont="0" applyFill="0" applyBorder="0" applyAlignment="0" applyProtection="0"/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0" fillId="35" borderId="11" applyNumberFormat="0">
      <alignment vertical="center"/>
      <protection locked="0"/>
    </xf>
    <xf numFmtId="0" fontId="40" fillId="0" borderId="0" applyFill="0" applyBorder="0">
      <alignment vertical="center"/>
    </xf>
    <xf numFmtId="0" fontId="39" fillId="0" borderId="0"/>
    <xf numFmtId="171" fontId="7" fillId="0" borderId="0" applyFill="0" applyBorder="0">
      <alignment vertical="center"/>
    </xf>
    <xf numFmtId="164" fontId="7" fillId="0" borderId="0" applyFill="0" applyBorder="0">
      <alignment vertical="center"/>
    </xf>
    <xf numFmtId="165" fontId="7" fillId="0" borderId="0" applyFill="0" applyBorder="0">
      <alignment vertical="center"/>
    </xf>
    <xf numFmtId="166" fontId="7" fillId="0" borderId="0" applyFill="0" applyBorder="0">
      <alignment vertical="center"/>
    </xf>
    <xf numFmtId="167" fontId="7" fillId="0" borderId="0" applyFill="0" applyBorder="0">
      <alignment vertical="center"/>
    </xf>
    <xf numFmtId="168" fontId="7" fillId="0" borderId="0" applyFill="0" applyBorder="0">
      <alignment vertical="center"/>
    </xf>
    <xf numFmtId="169" fontId="7" fillId="0" borderId="0" applyFill="0" applyBorder="0">
      <alignment vertical="center"/>
    </xf>
    <xf numFmtId="170" fontId="7" fillId="0" borderId="0" applyFill="0" applyBorder="0">
      <alignment vertical="center"/>
    </xf>
    <xf numFmtId="0" fontId="7" fillId="0" borderId="0"/>
    <xf numFmtId="171" fontId="7" fillId="0" borderId="0" applyFill="0" applyBorder="0">
      <alignment vertical="center"/>
    </xf>
    <xf numFmtId="171" fontId="7" fillId="0" borderId="0" applyFill="0" applyBorder="0">
      <alignment vertical="center"/>
    </xf>
    <xf numFmtId="172" fontId="7" fillId="0" borderId="0" applyFill="0" applyBorder="0">
      <alignment vertical="center"/>
    </xf>
    <xf numFmtId="175" fontId="7" fillId="0" borderId="0" applyFill="0" applyBorder="0">
      <alignment vertical="center"/>
    </xf>
    <xf numFmtId="9" fontId="7" fillId="0" borderId="0" applyFont="0" applyFill="0" applyBorder="0" applyAlignment="0" applyProtection="0"/>
    <xf numFmtId="173" fontId="7" fillId="0" borderId="0" applyFill="0" applyBorder="0">
      <alignment vertical="center"/>
    </xf>
    <xf numFmtId="0" fontId="5" fillId="0" borderId="9" applyFill="0" applyAlignment="0" applyProtection="0"/>
    <xf numFmtId="0" fontId="5" fillId="0" borderId="9" applyNumberFormat="0" applyFill="0" applyAlignment="0" applyProtection="0"/>
    <xf numFmtId="0" fontId="14" fillId="0" borderId="9" applyFill="0" applyAlignment="0" applyProtection="0"/>
    <xf numFmtId="0" fontId="15" fillId="0" borderId="15" applyFill="0" applyAlignment="0" applyProtection="0"/>
    <xf numFmtId="164" fontId="10" fillId="43" borderId="18">
      <alignment vertical="center"/>
      <protection locked="0"/>
    </xf>
    <xf numFmtId="0" fontId="8" fillId="44" borderId="19">
      <alignment vertical="center"/>
    </xf>
    <xf numFmtId="0" fontId="8" fillId="44" borderId="19">
      <alignment vertical="center"/>
    </xf>
    <xf numFmtId="165" fontId="10" fillId="43" borderId="18">
      <alignment vertical="center"/>
      <protection locked="0"/>
    </xf>
    <xf numFmtId="166" fontId="10" fillId="43" borderId="18">
      <alignment vertical="center"/>
      <protection locked="0"/>
    </xf>
    <xf numFmtId="167" fontId="10" fillId="43" borderId="18">
      <alignment vertical="center"/>
      <protection locked="0"/>
    </xf>
    <xf numFmtId="168" fontId="7" fillId="43" borderId="20">
      <alignment vertical="center"/>
    </xf>
    <xf numFmtId="169" fontId="10" fillId="43" borderId="18">
      <alignment vertical="center"/>
      <protection locked="0"/>
    </xf>
    <xf numFmtId="170" fontId="10" fillId="43" borderId="18">
      <alignment vertical="center"/>
      <protection locked="0"/>
    </xf>
    <xf numFmtId="171" fontId="10" fillId="43" borderId="18">
      <alignment vertical="center"/>
      <protection locked="0"/>
    </xf>
    <xf numFmtId="171" fontId="10" fillId="43" borderId="18">
      <alignment vertical="center"/>
      <protection locked="0"/>
    </xf>
    <xf numFmtId="172" fontId="10" fillId="43" borderId="18">
      <alignment vertical="center"/>
      <protection locked="0"/>
    </xf>
    <xf numFmtId="173" fontId="10" fillId="43" borderId="18">
      <alignment vertical="center"/>
      <protection locked="0"/>
    </xf>
    <xf numFmtId="0" fontId="10" fillId="43" borderId="18">
      <alignment vertical="center"/>
      <protection locked="0"/>
    </xf>
    <xf numFmtId="164" fontId="10" fillId="43" borderId="18">
      <alignment vertical="center"/>
      <protection locked="0"/>
    </xf>
    <xf numFmtId="167" fontId="10" fillId="43" borderId="18">
      <alignment vertical="center"/>
      <protection locked="0"/>
    </xf>
    <xf numFmtId="171" fontId="10" fillId="43" borderId="18">
      <alignment vertical="center"/>
      <protection locked="0"/>
    </xf>
    <xf numFmtId="173" fontId="10" fillId="43" borderId="18">
      <alignment vertical="center"/>
      <protection locked="0"/>
    </xf>
    <xf numFmtId="0" fontId="10" fillId="43" borderId="18">
      <alignment vertical="center"/>
      <protection locked="0"/>
    </xf>
    <xf numFmtId="0" fontId="42" fillId="0" borderId="0" applyFill="0" applyBorder="0">
      <alignment vertical="center"/>
    </xf>
    <xf numFmtId="0" fontId="43" fillId="0" borderId="0" applyFill="0" applyBorder="0">
      <alignment vertical="center"/>
    </xf>
    <xf numFmtId="0" fontId="44" fillId="0" borderId="0" applyFill="0" applyBorder="0">
      <alignment vertical="center"/>
    </xf>
    <xf numFmtId="0" fontId="40" fillId="0" borderId="0" applyFill="0" applyBorder="0">
      <alignment vertical="center"/>
    </xf>
    <xf numFmtId="0" fontId="29" fillId="41" borderId="0" applyBorder="0">
      <alignment vertical="center"/>
    </xf>
    <xf numFmtId="0" fontId="30" fillId="42" borderId="17">
      <alignment vertical="center"/>
    </xf>
    <xf numFmtId="0" fontId="45" fillId="0" borderId="0" applyNumberFormat="0" applyFill="0" applyBorder="0" applyAlignment="0" applyProtection="0"/>
    <xf numFmtId="0" fontId="46" fillId="0" borderId="0" applyFill="0" applyBorder="0">
      <alignment vertical="center"/>
    </xf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1">
    <xf numFmtId="0" fontId="0" fillId="0" borderId="0" xfId="0"/>
    <xf numFmtId="0" fontId="46" fillId="0" borderId="0" xfId="177">
      <alignment vertical="center"/>
    </xf>
    <xf numFmtId="0" fontId="10" fillId="43" borderId="18" xfId="169">
      <alignment vertical="center"/>
      <protection locked="0"/>
    </xf>
    <xf numFmtId="167" fontId="10" fillId="43" borderId="18" xfId="156">
      <alignment vertical="center"/>
      <protection locked="0"/>
    </xf>
    <xf numFmtId="167" fontId="10" fillId="35" borderId="11" xfId="74" applyNumberFormat="1">
      <alignment vertical="center"/>
      <protection locked="0"/>
    </xf>
    <xf numFmtId="172" fontId="10" fillId="43" borderId="18" xfId="162">
      <alignment vertical="center"/>
      <protection locked="0"/>
    </xf>
    <xf numFmtId="14" fontId="0" fillId="0" borderId="0" xfId="0" applyNumberFormat="1"/>
    <xf numFmtId="0" fontId="0" fillId="0" borderId="0" xfId="0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right"/>
    </xf>
  </cellXfs>
  <cellStyles count="180">
    <cellStyle name="20% - Accent1" xfId="19" builtinId="30" customBuiltin="1"/>
    <cellStyle name="20% - Accent2" xfId="23" builtinId="34" customBuiltin="1"/>
    <cellStyle name="20% - Accent2 2" xfId="42" xr:uid="{56F4310E-4C72-4BFD-A578-10A2C9F0F188}"/>
    <cellStyle name="20% - Accent3" xfId="27" builtinId="38" customBuiltin="1"/>
    <cellStyle name="20% - Accent3 2" xfId="43" xr:uid="{51953EB0-AA9B-4C88-B79F-D4DD98CC51BF}"/>
    <cellStyle name="20% - Accent4" xfId="31" builtinId="42" customBuiltin="1"/>
    <cellStyle name="20% - Accent4 2" xfId="44" xr:uid="{3D827F83-CEE6-4327-AB4C-9A9A41116FF5}"/>
    <cellStyle name="20% - Accent5" xfId="35" builtinId="46" customBuiltin="1"/>
    <cellStyle name="20% - Accent5 2" xfId="45" xr:uid="{854607DC-AD7A-49AB-8917-7B6732EE7032}"/>
    <cellStyle name="20% - Accent6" xfId="39" builtinId="50" customBuiltin="1"/>
    <cellStyle name="20% - Accent6 2" xfId="46" xr:uid="{C14C4454-D374-471D-834F-823D3EFC97DA}"/>
    <cellStyle name="40% - Accent1" xfId="20" builtinId="31" customBuiltin="1"/>
    <cellStyle name="40% - Accent1 2" xfId="47" xr:uid="{30C0C12E-9EC0-4A97-95AE-957A687EC567}"/>
    <cellStyle name="40% - Accent2" xfId="24" builtinId="35" customBuiltin="1"/>
    <cellStyle name="40% - Accent2 2" xfId="48" xr:uid="{E6967E09-2994-4B76-909E-46D3373CCDCB}"/>
    <cellStyle name="40% - Accent3" xfId="28" builtinId="39" customBuiltin="1"/>
    <cellStyle name="40% - Accent3 2" xfId="49" xr:uid="{0D7A1B21-7E8D-4C02-8150-46E760ADF429}"/>
    <cellStyle name="40% - Accent4" xfId="32" builtinId="43" customBuiltin="1"/>
    <cellStyle name="40% - Accent4 2" xfId="50" xr:uid="{8EB41421-8A37-4A16-909A-C230C9E6AB6C}"/>
    <cellStyle name="40% - Accent5" xfId="36" builtinId="47" customBuiltin="1"/>
    <cellStyle name="40% - Accent5 2" xfId="51" xr:uid="{6F48033C-77CB-4274-818F-278D70C40F2E}"/>
    <cellStyle name="40% - Accent6" xfId="40" builtinId="51" customBuiltin="1"/>
    <cellStyle name="40% - Accent6 2" xfId="52" xr:uid="{5914C515-1D16-4BAA-A5AE-27122A52807B}"/>
    <cellStyle name="60% - Accent1" xfId="21" builtinId="32" customBuiltin="1"/>
    <cellStyle name="60% - Accent1 2" xfId="53" xr:uid="{3BA7DC25-0FCA-4F2A-9843-11FD752126C9}"/>
    <cellStyle name="60% - Accent2" xfId="25" builtinId="36" customBuiltin="1"/>
    <cellStyle name="60% - Accent2 2" xfId="54" xr:uid="{E25A9B93-3B8B-4590-973A-1C8389E5F6E6}"/>
    <cellStyle name="60% - Accent3" xfId="29" builtinId="40" customBuiltin="1"/>
    <cellStyle name="60% - Accent3 2" xfId="55" xr:uid="{18F4D34F-F1DB-47AE-B354-E34C401A7621}"/>
    <cellStyle name="60% - Accent4" xfId="33" builtinId="44" customBuiltin="1"/>
    <cellStyle name="60% - Accent4 2" xfId="56" xr:uid="{E59F6511-F604-465F-8F4F-B89D61D178C6}"/>
    <cellStyle name="60% - Accent5" xfId="37" builtinId="48" customBuiltin="1"/>
    <cellStyle name="60% - Accent5 2" xfId="57" xr:uid="{E46D0555-ABB7-453F-AEAA-FD78E8046DA3}"/>
    <cellStyle name="60% - Accent6" xfId="41" builtinId="52" customBuiltin="1"/>
    <cellStyle name="60% - Accent6 2" xfId="58" xr:uid="{53D55CD2-5A5C-4A2B-908D-F59AA1E7E48C}"/>
    <cellStyle name="A. año:-" xfId="59" xr:uid="{E139B45D-3AB2-4B17-8B58-6900DA8FDD3F}"/>
    <cellStyle name="A. fecha hora:-" xfId="60" xr:uid="{07CEC2DF-155B-4B97-8815-65E6776BE8EA}"/>
    <cellStyle name="A. fecha mes año:-" xfId="61" xr:uid="{9023CECC-BB11-43C8-A643-730C25CE0447}"/>
    <cellStyle name="A. fecha:-" xfId="62" xr:uid="{F30BF5AF-FBB8-4C78-87E4-45E9C7975890}"/>
    <cellStyle name="A. indicador número:-" xfId="63" xr:uid="{821CA3F6-07F9-4CCD-BE0D-87FDC7D8BC43}"/>
    <cellStyle name="A. moneda:-" xfId="64" xr:uid="{9A01E758-BE9A-42D8-9F00-B0F58266827A}"/>
    <cellStyle name="A. múltiplo:-" xfId="65" xr:uid="{38F72865-5BE1-4731-8E34-0428CAA2B405}"/>
    <cellStyle name="A. número:-" xfId="66" xr:uid="{DD4EE80F-53F1-454C-97A4-2196EC70A37D}"/>
    <cellStyle name="A. número:- 2" xfId="67" xr:uid="{2DBB43E9-AB08-4164-9E8A-4A68E28C9FD2}"/>
    <cellStyle name="A. número:- 3" xfId="68" xr:uid="{58E04CBF-9213-4985-BD03-7B940A2AD8D6}"/>
    <cellStyle name="A. porcentaje:-" xfId="69" xr:uid="{9A5A8A6F-095D-4C9D-9788-AC703EBF99C7}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1. anotación:-" xfId="70" xr:uid="{04A8C645-AB72-4AEB-BC81-4CDAD9C25604}"/>
    <cellStyle name="B2. cálculo interno:-" xfId="71" xr:uid="{572B5568-9DB0-4C4E-A164-5859E37C4557}"/>
    <cellStyle name="B2. cálculo interno:- 2" xfId="72" xr:uid="{8BB864BB-1A60-40DF-A90A-6CED8DE56B47}"/>
    <cellStyle name="B2. cálculo interno:- 3" xfId="73" xr:uid="{868E2C47-25C6-43B7-B671-E4DE6E476ACD}"/>
    <cellStyle name="B3. parámetro interno:-" xfId="74" xr:uid="{33784643-313E-4B0B-B5B3-2E83D778857E}"/>
    <cellStyle name="B3. parámetro interno:- 2" xfId="75" xr:uid="{51A1394B-0B3B-43E1-A219-8B1E49D2F31F}"/>
    <cellStyle name="B3. parámetro interno:- 3" xfId="76" xr:uid="{F6301881-50D7-4529-8F35-77DFB4868BF9}"/>
    <cellStyle name="B4. resultado interno:-" xfId="77" xr:uid="{6CB994ED-1BA3-4376-A390-B1F67A82F918}"/>
    <cellStyle name="B5. col parám interno:-" xfId="78" xr:uid="{AC2EE04D-8FEB-4531-9E63-E59CCBD3AB03}"/>
    <cellStyle name="B6. trabajo progreso:-" xfId="79" xr:uid="{FB76DA11-0737-44B1-B867-91578F1C1A80}"/>
    <cellStyle name="Bad" xfId="7" builtinId="27" customBuiltin="1"/>
    <cellStyle name="C1. total1:-" xfId="80" xr:uid="{7F8DB0CD-58B8-475D-87C2-88CEC16FA53B}"/>
    <cellStyle name="C2. total2:-" xfId="81" xr:uid="{996A008E-0F8D-4BF0-A1B5-C4BC83FD1DC5}"/>
    <cellStyle name="C3. subtotal:-" xfId="82" xr:uid="{E526E677-D130-46D7-B0C3-61849D33461F}"/>
    <cellStyle name="Calculation" xfId="11" builtinId="22" customBuiltin="1"/>
    <cellStyle name="Check Cell" xfId="13" builtinId="23" customBuiltin="1"/>
    <cellStyle name="Check Cell 2" xfId="83" xr:uid="{8F54C3AB-22A4-451D-8353-8F332D6FF4B2}"/>
    <cellStyle name="Comma [0] 2" xfId="84" xr:uid="{91367019-2B52-4E55-B806-CE221A849532}"/>
    <cellStyle name="Comma [0] 2 2" xfId="179" xr:uid="{6D3D3697-BAAC-4029-BD67-51F49F6D75A1}"/>
    <cellStyle name="Comma [0] 3" xfId="85" xr:uid="{9C4581E2-5F91-4121-84C7-41C13E911908}"/>
    <cellStyle name="Comma [0] 4" xfId="178" xr:uid="{18C665DD-2611-489A-8487-1F4CD15ACE06}"/>
    <cellStyle name="D. enc glo1:-" xfId="86" xr:uid="{08C1184D-8320-4400-AE7A-7CEE39DC48FC}"/>
    <cellStyle name="D. enc glo2:-" xfId="87" xr:uid="{118130E2-4638-48FB-A5B0-3E9EBCA3D8E2}"/>
    <cellStyle name="E. enc tabla1:-" xfId="88" xr:uid="{17D86F3E-54EC-4F09-8A44-AEE30166A6C8}"/>
    <cellStyle name="E. enc tabla2:-" xfId="89" xr:uid="{DC712755-2C75-45D9-890F-5DFB518AFD82}"/>
    <cellStyle name="E. enc1:-" xfId="90" xr:uid="{C9FC35DA-8B39-459C-8839-9AC9FE7FF83C}"/>
    <cellStyle name="E. enc1:- 2" xfId="91" xr:uid="{9DEB1A7C-A3E8-4F52-8F25-2093691F9D60}"/>
    <cellStyle name="E. enc2:-" xfId="92" xr:uid="{A47AF57A-B302-41B1-93C1-14ECD8CE4203}"/>
    <cellStyle name="E. enc2:- 2" xfId="93" xr:uid="{8C27F5A4-189F-4C2E-BFC8-A7CC8D701640}"/>
    <cellStyle name="E. enc3:-" xfId="94" xr:uid="{0B465581-035E-4B5A-9049-564D3637D09D}"/>
    <cellStyle name="E. enc4:-" xfId="95" xr:uid="{64656F38-8E32-4EC8-B9AF-6397CC27D574}"/>
    <cellStyle name="E. enc5:-" xfId="96" xr:uid="{FFE73615-998C-4C46-A68A-F611E9BC1C49}"/>
    <cellStyle name="E. enc6:-" xfId="97" xr:uid="{14F689F7-24C4-476A-8CFE-8AA2845C13D0}"/>
    <cellStyle name="Encabezado 1:-" xfId="98" xr:uid="{4905DE96-0701-4253-8D28-37D6982889D2}"/>
    <cellStyle name="Encabezado 2.1:-" xfId="99" xr:uid="{98C3C897-DD17-488C-A972-9A8593B2EC1F}"/>
    <cellStyle name="Encabezado 2:-" xfId="100" xr:uid="{72BBC79E-7143-4F01-ACAE-CDD50398D63A}"/>
    <cellStyle name="Encabezado 3:-" xfId="101" xr:uid="{682C0E3C-39FD-49DE-855A-09E5347B0789}"/>
    <cellStyle name="Encabezado 4:-" xfId="102" xr:uid="{9E8775A5-0168-4548-B750-8C81359FBEAA}"/>
    <cellStyle name="Explanatory Text" xfId="16" builtinId="53" customBuiltin="1"/>
    <cellStyle name="Explanatory Text 2" xfId="103" xr:uid="{B68247FF-906C-4CBC-B392-5D773F775D44}"/>
    <cellStyle name="Fecha:-" xfId="104" xr:uid="{A9BAADA9-317C-40E2-AE86-C066835BFF8F}"/>
    <cellStyle name="Good" xfId="6" builtinId="26" customBuiltin="1"/>
    <cellStyle name="Good 2" xfId="105" xr:uid="{A21A3E04-D1B3-4D9A-95A0-5E7962A1AF43}"/>
    <cellStyle name="Heading 1" xfId="2" builtinId="16" customBuiltin="1"/>
    <cellStyle name="Heading 1 2" xfId="106" xr:uid="{A02658F8-9B03-46A8-A547-2EBF92D33C82}"/>
    <cellStyle name="Heading 2" xfId="3" builtinId="17" customBuiltin="1"/>
    <cellStyle name="Heading 2 2" xfId="107" xr:uid="{56B93E38-4E24-4CC2-A8C5-F594A61E8C84}"/>
    <cellStyle name="Heading 3" xfId="4" builtinId="18" customBuiltin="1"/>
    <cellStyle name="Heading 3 2" xfId="108" xr:uid="{0B2BDF0E-9724-439B-9BF7-7C80784AFAF9}"/>
    <cellStyle name="Heading 4" xfId="5" builtinId="19" customBuiltin="1"/>
    <cellStyle name="Heading 4 2" xfId="109" xr:uid="{9CEA4D42-94E8-485C-989B-A619B106120A}"/>
    <cellStyle name="Hipervínculo ícono:-" xfId="110" xr:uid="{9BBA80DC-B755-49E7-ABF7-862B83386476}"/>
    <cellStyle name="Hipervínculo Texto:-" xfId="111" xr:uid="{18218319-2571-4C29-9059-BE41496F28B4}"/>
    <cellStyle name="Input" xfId="9" builtinId="20" customBuiltin="1"/>
    <cellStyle name="Linked Cell" xfId="12" builtinId="24" customBuiltin="1"/>
    <cellStyle name="Millares [0] 2" xfId="112" xr:uid="{0C2F069B-20E6-4EF2-B903-86AA049FBE89}"/>
    <cellStyle name="Millares [0] 2 2" xfId="113" xr:uid="{C829754A-43C7-4D8D-9C69-40B74FAC53E9}"/>
    <cellStyle name="Millares [0] 2 2 2" xfId="114" xr:uid="{A142E135-B46B-4D78-8F8E-6A7475CE436B}"/>
    <cellStyle name="Millares [0] 2 2 2 2" xfId="115" xr:uid="{BE61A8AA-6142-4583-AC45-2B334301DAC1}"/>
    <cellStyle name="Millares [0] 2 3" xfId="116" xr:uid="{37CE8B0E-5C34-4EE3-9624-EE8BB7AEE33F}"/>
    <cellStyle name="Millares [0] 3" xfId="117" xr:uid="{1276277E-AE8C-45E7-B54C-794B701C52C1}"/>
    <cellStyle name="Millares [0] 3 2" xfId="118" xr:uid="{F71B5F2D-39B3-49A4-9822-C265665E7FF0}"/>
    <cellStyle name="Millares [0] 4" xfId="119" xr:uid="{73C48D17-ED41-4E91-81FF-BC3300EE67D4}"/>
    <cellStyle name="Millares [0] 4 2" xfId="120" xr:uid="{A3E2A92B-9C5D-4938-B309-0CE5AF08A0AE}"/>
    <cellStyle name="Millares [0] 5" xfId="121" xr:uid="{CB037E06-44C5-41E3-977F-6BBFEABF0705}"/>
    <cellStyle name="Millares [0] 5 2" xfId="122" xr:uid="{CEEE58B6-97CA-42F3-861A-EAE931B81958}"/>
    <cellStyle name="Millares [0] 6" xfId="123" xr:uid="{5628999F-BC1B-4105-A337-38887B07A4A9}"/>
    <cellStyle name="Millares 2" xfId="124" xr:uid="{43A406C2-6517-4937-99AA-3F573F2B2DF7}"/>
    <cellStyle name="Millares 2 2" xfId="125" xr:uid="{E70B104A-95B4-4ED0-961B-FC847492A038}"/>
    <cellStyle name="Millares 3" xfId="126" xr:uid="{41AC881B-90AF-48C8-8D2D-F2264BF85CA8}"/>
    <cellStyle name="Millares 4" xfId="127" xr:uid="{0EAC1891-4D9A-48C2-BB46-4A28C2C716AF}"/>
    <cellStyle name="Millares 5" xfId="128" xr:uid="{C2CFD28A-F43C-4FA1-A04D-EF4E4E4BCDBE}"/>
    <cellStyle name="Modelo parámetro interno:-" xfId="129" xr:uid="{7B06DC07-6D16-4006-9953-F24FEB6F6FF3}"/>
    <cellStyle name="Neutral" xfId="8" builtinId="28" customBuiltin="1"/>
    <cellStyle name="Nombre modelo:-" xfId="130" xr:uid="{B33CDAF9-7951-4D3B-8C6C-371522C13DD3}"/>
    <cellStyle name="Normal" xfId="0" builtinId="0" customBuiltin="1"/>
    <cellStyle name="Normal 10 2" xfId="131" xr:uid="{14290AE8-1B65-4F14-8679-0376A58BDEED}"/>
    <cellStyle name="Note" xfId="15" builtinId="10" customBuiltin="1"/>
    <cellStyle name="Número:-" xfId="132" xr:uid="{0ED33A5A-F822-43C1-BD63-64221FCC1D06}"/>
    <cellStyle name="Output" xfId="10" builtinId="21" customBuiltin="1"/>
    <cellStyle name="P. año:-" xfId="133" xr:uid="{34E894F3-3896-44C1-9310-6019598A0E79}"/>
    <cellStyle name="P. fecha hora:-" xfId="134" xr:uid="{18D4A333-5EA0-42E6-95DC-9B87CDA62BF5}"/>
    <cellStyle name="P. fecha mes año:-" xfId="135" xr:uid="{D81456B3-7811-4C14-9A5D-B08856924E27}"/>
    <cellStyle name="P. fecha:-" xfId="136" xr:uid="{242A76C6-66B0-4EB4-B795-99B6693303F9}"/>
    <cellStyle name="P. indicador número:-" xfId="137" xr:uid="{FDAB15EB-FB9E-43AA-85D9-3854EACBBAA2}"/>
    <cellStyle name="P. moneda:-" xfId="138" xr:uid="{F1D1B13F-0708-459F-B4F1-92EA81106DAA}"/>
    <cellStyle name="P. múltiplo:-" xfId="139" xr:uid="{71E8C3A5-349A-4815-BE31-FCD798005743}"/>
    <cellStyle name="P. normal:-" xfId="140" xr:uid="{98CBDD52-B8F6-42FB-9040-3205AA2DC9ED}"/>
    <cellStyle name="P. número:-" xfId="141" xr:uid="{EBB10E72-F2B9-4314-AE3C-73D3A18E57F6}"/>
    <cellStyle name="P. número:- 2" xfId="142" xr:uid="{ACC5BAE2-3A86-476D-A74F-E611AB64DEE3}"/>
    <cellStyle name="P. número:- 3" xfId="143" xr:uid="{39BFE6A2-7004-4DEB-B93C-08CBD9A4B280}"/>
    <cellStyle name="P. porcentaje:-" xfId="144" xr:uid="{8EFFEE51-6672-4DBF-B39A-4CA647CD8E17}"/>
    <cellStyle name="Percent 2" xfId="145" xr:uid="{FB80AFBC-F695-4289-B4A4-995FF9B86BFF}"/>
    <cellStyle name="Porcentaje:-" xfId="146" xr:uid="{78CE8F12-E398-4282-A7F2-6A43D85EB3CB}"/>
    <cellStyle name="Q1. pres total1:-" xfId="147" xr:uid="{0E8B8F4D-966D-410D-8005-FA000D432C29}"/>
    <cellStyle name="Q1. pres total1:- 2" xfId="148" xr:uid="{1C29214A-1461-4256-AE57-A3E4435E4311}"/>
    <cellStyle name="Q2. pres total2:-" xfId="149" xr:uid="{C5037021-0A27-46C8-B994-783AE5FBF7D8}"/>
    <cellStyle name="Q3. pres subtotal:-" xfId="150" xr:uid="{5195566E-5728-442C-9C45-0FCFAF76499C}"/>
    <cellStyle name="S. año:-" xfId="151" xr:uid="{0DA1324C-B7A0-4446-B168-97B74B387DE5}"/>
    <cellStyle name="S. columna :-" xfId="152" xr:uid="{7663273F-E7C1-41C8-B649-1DCA660FEF11}"/>
    <cellStyle name="S. columna:-" xfId="153" xr:uid="{9C05C2B1-B3C6-47BE-9F44-986384AD70F0}"/>
    <cellStyle name="S. fecha hora:-" xfId="154" xr:uid="{D49D9DEA-CEB1-40E6-823F-D0EFE96AA143}"/>
    <cellStyle name="S. fecha mes año:-" xfId="155" xr:uid="{F7908288-C7F1-40A6-8558-B0EB7BC5A9CA}"/>
    <cellStyle name="S. fecha:-" xfId="156" xr:uid="{28659C7B-46EF-46B6-B469-FC1894ADB17A}"/>
    <cellStyle name="S. indicador número:-" xfId="157" xr:uid="{AF52ECC4-C28B-41E8-BFF3-2B9A911044E0}"/>
    <cellStyle name="S. moneda:-" xfId="158" xr:uid="{452A9B4D-2101-4F26-8AA5-04669D600A2B}"/>
    <cellStyle name="S. múltiplo:-" xfId="159" xr:uid="{1874D024-258F-4C9F-89E3-985E1E32A2DF}"/>
    <cellStyle name="S. número:-" xfId="160" xr:uid="{6EA414A2-F3C9-4972-AF6F-A0B9299FEA3E}"/>
    <cellStyle name="S. número:- 2" xfId="161" xr:uid="{7F6BFCDD-6410-4C01-86FC-26B9720E2EBB}"/>
    <cellStyle name="S. número:- 3" xfId="162" xr:uid="{E64A6FF1-CCB7-4090-9DEE-3ACD7F35FBD5}"/>
    <cellStyle name="S. porcentaje:-" xfId="163" xr:uid="{A89A6768-1090-4826-A36A-EB411602BF3E}"/>
    <cellStyle name="S. texto:-" xfId="164" xr:uid="{F71BC405-30BD-4D9A-B079-841081D1A08B}"/>
    <cellStyle name="Supuesto Año:-" xfId="165" xr:uid="{2C2D3120-02AE-4505-92B0-A7DE81B3D0CB}"/>
    <cellStyle name="Supuesto Fecha:-" xfId="166" xr:uid="{92C6C054-389C-48D2-8648-5ED1A2B51914}"/>
    <cellStyle name="Supuesto Número:-" xfId="167" xr:uid="{686A17E7-CD24-4EAA-A83D-60786C6477A7}"/>
    <cellStyle name="Supuesto Porcentaje:-" xfId="168" xr:uid="{8576818C-9800-489F-B332-45FCC35F2671}"/>
    <cellStyle name="Supuesto Texto:-" xfId="169" xr:uid="{4A5BEBCE-4B26-4F09-8F45-2E709424DB1B}"/>
    <cellStyle name="T. título1:-" xfId="170" xr:uid="{125A4421-5619-429D-8ED3-BB618B10F7D8}"/>
    <cellStyle name="T. título1:- 2" xfId="171" xr:uid="{223CDDE5-47D6-4242-A133-E0D53E596905}"/>
    <cellStyle name="T. título2:-" xfId="172" xr:uid="{22D63861-B9C0-489A-8791-60A97A867E8C}"/>
    <cellStyle name="T. título3:-" xfId="173" xr:uid="{DA140A8F-58FE-46A8-85AA-E2AAF1C8BB03}"/>
    <cellStyle name="T. título4:-" xfId="174" xr:uid="{B38E4951-AEC9-490E-9B14-90F34ACAFAA2}"/>
    <cellStyle name="T. título5:-" xfId="175" xr:uid="{8F068BD6-B01D-49AE-9BA3-890F2BD03163}"/>
    <cellStyle name="Title" xfId="1" builtinId="15" customBuiltin="1"/>
    <cellStyle name="Title 2" xfId="176" xr:uid="{2D3E1591-0F74-4097-84A5-A25B3506BFC9}"/>
    <cellStyle name="Título Hoja:-" xfId="177" xr:uid="{3530B5DC-2532-444E-8056-36E39C9E203F}"/>
    <cellStyle name="Total" xfId="17" builtinId="25" customBuiltin="1"/>
    <cellStyle name="Warning Text" xfId="14" builtinId="11" customBuiltin="1"/>
  </cellStyles>
  <dxfs count="18">
    <dxf>
      <numFmt numFmtId="27" formatCode="m/d/yyyy\ h:mm"/>
    </dxf>
    <dxf>
      <numFmt numFmtId="19" formatCode="m/d/yyyy"/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color theme="2" tint="-0.499984740745262"/>
      </font>
    </dxf>
    <dxf>
      <font>
        <b/>
        <color theme="1"/>
      </font>
    </dxf>
    <dxf>
      <font>
        <b/>
        <color theme="1"/>
      </font>
      <border>
        <bottom style="thin">
          <color theme="4" tint="0.39997558519241921"/>
        </bottom>
      </border>
    </dxf>
    <dxf>
      <font>
        <b/>
        <i val="0"/>
      </font>
      <border>
        <top style="thin">
          <color theme="4"/>
        </top>
      </border>
    </dxf>
    <dxf>
      <font>
        <b/>
        <color theme="1"/>
      </font>
      <border>
        <top style="thin">
          <color theme="4"/>
        </top>
      </border>
    </dxf>
    <dxf>
      <font>
        <b/>
        <color theme="1"/>
      </font>
      <border>
        <top style="double">
          <color theme="4"/>
        </top>
        <bottom style="thin">
          <color theme="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>
        <left style="thin">
          <color theme="0" tint="-0.249977111117893"/>
        </left>
        <right style="thin">
          <color theme="0" tint="-0.249977111117893"/>
        </right>
      </border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numFmt numFmtId="19" formatCode="m/d/yyyy"/>
    </dxf>
    <dxf>
      <numFmt numFmtId="19" formatCode="m/d/yyyy"/>
    </dxf>
    <dxf>
      <numFmt numFmtId="19" formatCode="m/d/yyyy"/>
    </dxf>
  </dxfs>
  <tableStyles count="1" defaultTableStyle="TableStyleMedium2" defaultPivotStyle="PivotStyleLight16">
    <tableStyle name="PivotStyle Modelo Reporte" table="0" count="13" xr9:uid="{2F2CDFBE-5797-4A3F-98AE-0D41EDE87C4A}">
      <tableStyleElement type="headerRow" dxfId="14"/>
      <tableStyleElement type="totalRow" dxfId="13"/>
      <tableStyleElement type="firstRowStripe" dxfId="12"/>
      <tableStyleElement type="firstColumnStripe" dxfId="11"/>
      <tableStyleElement type="firstSubtotalColumn" dxfId="10"/>
      <tableStyleElement type="firstSubtotalRow" dxfId="9"/>
      <tableStyleElement type="secondSubtotalRow" dxfId="8"/>
      <tableStyleElement type="thirdSubtotalRow" dxfId="7"/>
      <tableStyleElement type="firstRowSubheading" dxfId="6"/>
      <tableStyleElement type="secondRowSubheading" dxfId="5"/>
      <tableStyleElement type="thirdRowSubheading" dxfId="4"/>
      <tableStyleElement type="pageFieldLabels" dxfId="3"/>
      <tableStyleElement type="pageFieldValues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A83E503-4E0B-41C1-8BD2-9187D5834CEA}" autoFormatId="16" applyNumberFormats="0" applyBorderFormats="0" applyFontFormats="0" applyPatternFormats="0" applyAlignmentFormats="0" applyWidthHeightFormats="0">
  <queryTableRefresh nextId="23">
    <queryTableFields count="22">
      <queryTableField id="1" name="day" tableColumnId="1"/>
      <queryTableField id="2" name="orders" tableColumnId="2"/>
      <queryTableField id="3" name="quantity_ordered_per_order" tableColumnId="3"/>
      <queryTableField id="4" name="average_order_value" tableColumnId="4"/>
      <queryTableField id="5" name="quantity_returned" tableColumnId="5"/>
      <queryTableField id="6" name="gross_sales" tableColumnId="6"/>
      <queryTableField id="7" name="discounts" tableColumnId="7"/>
      <queryTableField id="8" name="sales_reversals" tableColumnId="8"/>
      <queryTableField id="9" name="net_sales" tableColumnId="9"/>
      <queryTableField id="10" name="shipping_charges" tableColumnId="10"/>
      <queryTableField id="11" name="return_fees" tableColumnId="11"/>
      <queryTableField id="12" name="taxes" tableColumnId="12"/>
      <queryTableField id="13" name="total_sales" tableColumnId="13"/>
      <queryTableField id="14" name="net_sales_without_cost_recorded" tableColumnId="14"/>
      <queryTableField id="15" name="net_sales_with_cost_recorded" tableColumnId="15"/>
      <queryTableField id="16" name="cost_of_goods_sold" tableColumnId="16"/>
      <queryTableField id="17" name="gross_profit" tableColumnId="17"/>
      <queryTableField id="18" name="gift_card_gross_sales" tableColumnId="18"/>
      <queryTableField id="19" name="net_items_sold" tableColumnId="19"/>
      <queryTableField id="20" name="gift_card_discounts" tableColumnId="20"/>
      <queryTableField id="21" name="gift_card_net_sales" tableColumnId="21"/>
      <queryTableField id="22" name="refresh_date_SalesBreakdown" tableColumnId="2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1A3F17D-FDF2-44D7-BB9A-6510B8A8239F}" name="ExSalesBreakdownByPeriod" displayName="ExSalesBreakdownByPeriod" ref="A1:V745" tableType="queryTable" totalsRowShown="0">
  <autoFilter ref="A1:V745" xr:uid="{B1A3F17D-FDF2-44D7-BB9A-6510B8A8239F}"/>
  <tableColumns count="22">
    <tableColumn id="1" xr3:uid="{18808B8E-8462-4EBA-AF28-B7C87EE87D5A}" uniqueName="1" name="day" queryTableFieldId="1" dataDxfId="1"/>
    <tableColumn id="2" xr3:uid="{06525FFE-CCA6-438A-A06A-466E5779577D}" uniqueName="2" name="orders" queryTableFieldId="2"/>
    <tableColumn id="3" xr3:uid="{E1C12D0E-4731-46A0-AB71-7D742FB4DFAB}" uniqueName="3" name="quantity_ordered_per_order" queryTableFieldId="3"/>
    <tableColumn id="4" xr3:uid="{6EB5B6B0-BA1E-4C54-BA1C-461CEC6AA03B}" uniqueName="4" name="average_order_value" queryTableFieldId="4"/>
    <tableColumn id="5" xr3:uid="{D65C95BF-42CB-46DD-83F4-0F409DC98359}" uniqueName="5" name="quantity_returned" queryTableFieldId="5"/>
    <tableColumn id="6" xr3:uid="{B2BCD27F-64DC-421F-9F4D-55C4B4523506}" uniqueName="6" name="gross_sales" queryTableFieldId="6"/>
    <tableColumn id="7" xr3:uid="{0287A3F3-D767-4108-8D42-3B4DA09D69FE}" uniqueName="7" name="discounts" queryTableFieldId="7"/>
    <tableColumn id="8" xr3:uid="{FEB872D7-3030-44F3-BD3A-5E6D3417D544}" uniqueName="8" name="sales_reversals" queryTableFieldId="8"/>
    <tableColumn id="9" xr3:uid="{547872C9-2173-4130-BA40-70621751689E}" uniqueName="9" name="net_sales" queryTableFieldId="9"/>
    <tableColumn id="10" xr3:uid="{49060997-C2AB-42F3-990A-97B077689D04}" uniqueName="10" name="shipping_charges" queryTableFieldId="10"/>
    <tableColumn id="11" xr3:uid="{56AD9187-7068-4582-BFBC-73A061F0F078}" uniqueName="11" name="return_fees" queryTableFieldId="11"/>
    <tableColumn id="12" xr3:uid="{CE51AEB2-E19C-44A0-B6DC-BC970F0B2DAC}" uniqueName="12" name="taxes" queryTableFieldId="12"/>
    <tableColumn id="13" xr3:uid="{74079748-48F6-4D30-962F-A4933DF1EF24}" uniqueName="13" name="total_sales" queryTableFieldId="13"/>
    <tableColumn id="14" xr3:uid="{7804E2DF-B061-4E23-93E5-B7211D329DEC}" uniqueName="14" name="net_sales_without_cost_recorded" queryTableFieldId="14"/>
    <tableColumn id="15" xr3:uid="{AB1E9ACD-3F1F-4472-ACF3-0CA0FA69164E}" uniqueName="15" name="net_sales_with_cost_recorded" queryTableFieldId="15"/>
    <tableColumn id="16" xr3:uid="{8D9EC96F-334C-4FAB-8E77-BDF1297BB69C}" uniqueName="16" name="cost_of_goods_sold" queryTableFieldId="16"/>
    <tableColumn id="17" xr3:uid="{462893D8-D919-46C8-B829-9CEBB53BDCDF}" uniqueName="17" name="gross_profit" queryTableFieldId="17"/>
    <tableColumn id="18" xr3:uid="{8CFBA2FF-9A0E-43B8-9C43-179E3E4239D0}" uniqueName="18" name="gift_card_gross_sales" queryTableFieldId="18"/>
    <tableColumn id="19" xr3:uid="{FC5686CB-D19B-47B3-B1D4-BC3FA289A36C}" uniqueName="19" name="net_items_sold" queryTableFieldId="19"/>
    <tableColumn id="20" xr3:uid="{C9268AB7-6E86-49DC-B2CF-213D3D20CD02}" uniqueName="20" name="gift_card_discounts" queryTableFieldId="20"/>
    <tableColumn id="21" xr3:uid="{302881BB-C609-44CA-BA34-EB7B4041C9D7}" uniqueName="21" name="gift_card_net_sales" queryTableFieldId="21"/>
    <tableColumn id="22" xr3:uid="{9A2C0E03-7C6E-4DE3-AFF5-22D00D14E2ED}" uniqueName="22" name="refresh_date_SalesBreakdown" queryTableFieldId="22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B9EB93-2B9A-46AE-A7C3-8929A306886A}" name="TableHistorical" displayName="TableHistorical" ref="B2:D3" totalsRowShown="0">
  <autoFilter ref="B2:D3" xr:uid="{B4B9EB93-2B9A-46AE-A7C3-8929A306886A}"/>
  <tableColumns count="3">
    <tableColumn id="1" xr3:uid="{487330E1-6D01-44B8-B454-14CF619A9DF5}" name="Day" dataDxfId="17"/>
    <tableColumn id="2" xr3:uid="{FC7B71BE-6189-4D23-A946-D67FFFB8A80B}" name="Week" dataDxfId="16"/>
    <tableColumn id="3" xr3:uid="{3A063483-63E7-4A99-BFC4-C0CD4B26E624}" name="Month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emeGreen">
  <a:themeElements>
    <a:clrScheme name="Verde formal">
      <a:dk1>
        <a:sysClr val="windowText" lastClr="000000"/>
      </a:dk1>
      <a:lt1>
        <a:sysClr val="window" lastClr="FFFFFF"/>
      </a:lt1>
      <a:dk2>
        <a:srgbClr val="000000"/>
      </a:dk2>
      <a:lt2>
        <a:srgbClr val="E9EAEA"/>
      </a:lt2>
      <a:accent1>
        <a:srgbClr val="265E35"/>
      </a:accent1>
      <a:accent2>
        <a:srgbClr val="333A56"/>
      </a:accent2>
      <a:accent3>
        <a:srgbClr val="773344"/>
      </a:accent3>
      <a:accent4>
        <a:srgbClr val="C0C5C1"/>
      </a:accent4>
      <a:accent5>
        <a:srgbClr val="7D8491"/>
      </a:accent5>
      <a:accent6>
        <a:srgbClr val="E35856"/>
      </a:accent6>
      <a:hlink>
        <a:srgbClr val="308DBB"/>
      </a:hlink>
      <a:folHlink>
        <a:srgbClr val="915B97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3D7B0-411A-4A31-9E27-48037B1A30D5}">
  <sheetPr codeName="Sheet1"/>
  <dimension ref="A1"/>
  <sheetViews>
    <sheetView showGridLines="0" workbookViewId="0">
      <selection activeCell="B2" sqref="B2"/>
    </sheetView>
  </sheetViews>
  <sheetFormatPr defaultRowHeight="12" x14ac:dyDescent="0.2"/>
  <cols>
    <col min="1" max="1" width="3.83203125" customWidth="1"/>
    <col min="2" max="2" width="21.33203125" bestFit="1" customWidth="1"/>
    <col min="3" max="3" width="23.1640625" customWidth="1"/>
    <col min="4" max="4" width="9"/>
    <col min="5" max="5" width="10.33203125" customWidth="1"/>
    <col min="6" max="6" width="13.83203125" customWidth="1"/>
    <col min="7" max="8" width="9"/>
    <col min="9" max="9" width="11.33203125" bestFit="1" customWidth="1"/>
    <col min="10" max="10" width="60.5" bestFit="1" customWidth="1"/>
    <col min="11" max="11" width="9" bestFit="1" customWidth="1"/>
    <col min="12" max="12" width="12.33203125" bestFit="1" customWidth="1"/>
    <col min="13" max="13" width="11.6640625" bestFit="1" customWidth="1"/>
    <col min="14" max="14" width="14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5BAAE-0810-457F-9FF7-33327C8206E1}">
  <sheetPr codeName="Sheet5"/>
  <dimension ref="A1"/>
  <sheetViews>
    <sheetView workbookViewId="0"/>
  </sheetViews>
  <sheetFormatPr defaultRowHeight="12" x14ac:dyDescent="0.2"/>
  <cols>
    <col min="1" max="1" width="33.33203125" bestFit="1" customWidth="1"/>
    <col min="2" max="2" width="8.5" bestFit="1" customWidth="1"/>
    <col min="3" max="3" width="15" bestFit="1" customWidth="1"/>
    <col min="4" max="4" width="12.6640625" bestFit="1" customWidth="1"/>
    <col min="5" max="5" width="10.83203125" bestFit="1" customWidth="1"/>
    <col min="6" max="6" width="15.5" bestFit="1" customWidth="1"/>
    <col min="7" max="7" width="16.5" bestFit="1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CA8E2-4FBA-4B4E-AE0A-440A71F4BD6B}">
  <dimension ref="A1:V745"/>
  <sheetViews>
    <sheetView tabSelected="1" workbookViewId="0">
      <selection sqref="A1:V745"/>
    </sheetView>
  </sheetViews>
  <sheetFormatPr defaultRowHeight="12" x14ac:dyDescent="0.2"/>
  <cols>
    <col min="1" max="1" width="10.83203125" bestFit="1" customWidth="1"/>
    <col min="2" max="2" width="9" bestFit="1" customWidth="1"/>
    <col min="3" max="3" width="27.5" bestFit="1" customWidth="1"/>
    <col min="4" max="4" width="21.6640625" bestFit="1" customWidth="1"/>
    <col min="5" max="5" width="18.83203125" bestFit="1" customWidth="1"/>
    <col min="6" max="6" width="13.33203125" bestFit="1" customWidth="1"/>
    <col min="7" max="7" width="11.83203125" bestFit="1" customWidth="1"/>
    <col min="8" max="8" width="16.6640625" bestFit="1" customWidth="1"/>
    <col min="9" max="9" width="12.1640625" bestFit="1" customWidth="1"/>
    <col min="10" max="10" width="18.1640625" bestFit="1" customWidth="1"/>
    <col min="11" max="11" width="13.33203125" bestFit="1" customWidth="1"/>
    <col min="12" max="12" width="11.1640625" bestFit="1" customWidth="1"/>
    <col min="13" max="13" width="12.83203125" bestFit="1" customWidth="1"/>
    <col min="14" max="14" width="32.1640625" bestFit="1" customWidth="1"/>
    <col min="15" max="15" width="29.5" bestFit="1" customWidth="1"/>
    <col min="16" max="16" width="20.33203125" bestFit="1" customWidth="1"/>
    <col min="17" max="17" width="13.6640625" bestFit="1" customWidth="1"/>
    <col min="18" max="18" width="22" bestFit="1" customWidth="1"/>
    <col min="19" max="19" width="16.6640625" bestFit="1" customWidth="1"/>
    <col min="20" max="20" width="20.1640625" bestFit="1" customWidth="1"/>
    <col min="21" max="21" width="20.33203125" bestFit="1" customWidth="1"/>
    <col min="22" max="22" width="29.6640625" bestFit="1" customWidth="1"/>
  </cols>
  <sheetData>
    <row r="1" spans="1:22" x14ac:dyDescent="0.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  <c r="V1" t="s">
        <v>36</v>
      </c>
    </row>
    <row r="2" spans="1:22" x14ac:dyDescent="0.2">
      <c r="A2" s="8">
        <v>45809</v>
      </c>
      <c r="B2">
        <v>10</v>
      </c>
      <c r="C2">
        <v>2.1</v>
      </c>
      <c r="D2">
        <v>118487.39599999999</v>
      </c>
      <c r="E2">
        <v>0</v>
      </c>
      <c r="F2">
        <v>1184873.96</v>
      </c>
      <c r="G2">
        <v>0</v>
      </c>
      <c r="H2">
        <v>0</v>
      </c>
      <c r="I2">
        <v>1184873.96</v>
      </c>
      <c r="J2">
        <v>85000</v>
      </c>
      <c r="K2">
        <v>0</v>
      </c>
      <c r="L2">
        <v>225126.04</v>
      </c>
      <c r="M2">
        <v>1495000</v>
      </c>
      <c r="N2">
        <v>0</v>
      </c>
      <c r="O2">
        <v>1184873.96</v>
      </c>
      <c r="P2">
        <v>321197</v>
      </c>
      <c r="Q2">
        <v>863676.96</v>
      </c>
      <c r="R2">
        <v>0</v>
      </c>
      <c r="S2">
        <v>21</v>
      </c>
      <c r="T2">
        <v>0</v>
      </c>
      <c r="U2">
        <v>0</v>
      </c>
      <c r="V2" s="9">
        <v>46189.853409826392</v>
      </c>
    </row>
    <row r="3" spans="1:22" x14ac:dyDescent="0.2">
      <c r="A3" s="8">
        <v>45810</v>
      </c>
      <c r="B3">
        <v>7</v>
      </c>
      <c r="C3">
        <v>1.7</v>
      </c>
      <c r="D3">
        <v>123649.461</v>
      </c>
      <c r="E3">
        <v>0</v>
      </c>
      <c r="F3">
        <v>865546.23</v>
      </c>
      <c r="G3">
        <v>0</v>
      </c>
      <c r="H3">
        <v>0</v>
      </c>
      <c r="I3">
        <v>865546.23</v>
      </c>
      <c r="J3">
        <v>59500</v>
      </c>
      <c r="K3">
        <v>0</v>
      </c>
      <c r="L3">
        <v>164453.76999999999</v>
      </c>
      <c r="M3">
        <v>1089500</v>
      </c>
      <c r="N3">
        <v>0</v>
      </c>
      <c r="O3">
        <v>865546.23</v>
      </c>
      <c r="P3">
        <v>191003</v>
      </c>
      <c r="Q3">
        <v>674543.23</v>
      </c>
      <c r="R3">
        <v>0</v>
      </c>
      <c r="S3">
        <v>12</v>
      </c>
      <c r="T3">
        <v>0</v>
      </c>
      <c r="U3">
        <v>0</v>
      </c>
      <c r="V3" s="9">
        <v>46189.853409826392</v>
      </c>
    </row>
    <row r="4" spans="1:22" x14ac:dyDescent="0.2">
      <c r="A4" s="8">
        <v>45811</v>
      </c>
      <c r="B4">
        <v>13</v>
      </c>
      <c r="C4">
        <v>1.5</v>
      </c>
      <c r="D4">
        <v>104525.016</v>
      </c>
      <c r="E4">
        <v>0</v>
      </c>
      <c r="F4">
        <v>1428825.21</v>
      </c>
      <c r="G4">
        <v>-70000</v>
      </c>
      <c r="H4">
        <v>0</v>
      </c>
      <c r="I4">
        <v>1358825.21</v>
      </c>
      <c r="J4">
        <v>122500</v>
      </c>
      <c r="K4">
        <v>0</v>
      </c>
      <c r="L4">
        <v>258176.79</v>
      </c>
      <c r="M4">
        <v>1739502</v>
      </c>
      <c r="N4">
        <v>0.84</v>
      </c>
      <c r="O4">
        <v>1358824.37</v>
      </c>
      <c r="P4">
        <v>333271</v>
      </c>
      <c r="Q4">
        <v>1025553.37</v>
      </c>
      <c r="R4">
        <v>0</v>
      </c>
      <c r="S4">
        <v>19</v>
      </c>
      <c r="T4">
        <v>0</v>
      </c>
      <c r="U4">
        <v>0</v>
      </c>
      <c r="V4" s="9">
        <v>46189.853409826392</v>
      </c>
    </row>
    <row r="5" spans="1:22" x14ac:dyDescent="0.2">
      <c r="A5" s="8">
        <v>45812</v>
      </c>
      <c r="B5">
        <v>16</v>
      </c>
      <c r="C5">
        <v>19.2</v>
      </c>
      <c r="D5">
        <v>321701.68099999998</v>
      </c>
      <c r="E5">
        <v>-3</v>
      </c>
      <c r="F5">
        <v>5428739.5099999998</v>
      </c>
      <c r="G5">
        <v>-58823.53</v>
      </c>
      <c r="H5">
        <v>-200000</v>
      </c>
      <c r="I5">
        <v>5169915.9800000004</v>
      </c>
      <c r="J5">
        <v>115000</v>
      </c>
      <c r="K5">
        <v>0</v>
      </c>
      <c r="L5">
        <v>982284.02</v>
      </c>
      <c r="M5">
        <v>6267200</v>
      </c>
      <c r="N5">
        <v>0</v>
      </c>
      <c r="O5">
        <v>5169915.9800000004</v>
      </c>
      <c r="P5">
        <v>2071273</v>
      </c>
      <c r="Q5">
        <v>3098642.98</v>
      </c>
      <c r="R5">
        <v>0</v>
      </c>
      <c r="S5">
        <v>307</v>
      </c>
      <c r="T5">
        <v>0</v>
      </c>
      <c r="U5">
        <v>0</v>
      </c>
      <c r="V5" s="9">
        <v>46189.853409826392</v>
      </c>
    </row>
    <row r="6" spans="1:22" x14ac:dyDescent="0.2">
      <c r="A6" s="8">
        <v>45813</v>
      </c>
      <c r="B6">
        <v>15</v>
      </c>
      <c r="C6">
        <v>1.8</v>
      </c>
      <c r="D6">
        <v>135630.25200000001</v>
      </c>
      <c r="E6">
        <v>0</v>
      </c>
      <c r="F6">
        <v>2034453.78</v>
      </c>
      <c r="G6">
        <v>0</v>
      </c>
      <c r="H6">
        <v>0</v>
      </c>
      <c r="I6">
        <v>2034453.78</v>
      </c>
      <c r="J6">
        <v>109500</v>
      </c>
      <c r="K6">
        <v>0</v>
      </c>
      <c r="L6">
        <v>386546.22</v>
      </c>
      <c r="M6">
        <v>2530500</v>
      </c>
      <c r="N6">
        <v>0</v>
      </c>
      <c r="O6">
        <v>2034453.78</v>
      </c>
      <c r="P6">
        <v>581398</v>
      </c>
      <c r="Q6">
        <v>1453055.78</v>
      </c>
      <c r="R6">
        <v>0</v>
      </c>
      <c r="S6">
        <v>27</v>
      </c>
      <c r="T6">
        <v>0</v>
      </c>
      <c r="U6">
        <v>0</v>
      </c>
      <c r="V6" s="9">
        <v>46189.853409826392</v>
      </c>
    </row>
    <row r="7" spans="1:22" x14ac:dyDescent="0.2">
      <c r="A7" s="8">
        <v>45814</v>
      </c>
      <c r="B7">
        <v>12</v>
      </c>
      <c r="C7">
        <v>1.8</v>
      </c>
      <c r="D7">
        <v>133823.53</v>
      </c>
      <c r="E7">
        <v>0</v>
      </c>
      <c r="F7">
        <v>1610084.04</v>
      </c>
      <c r="G7">
        <v>-4201.68</v>
      </c>
      <c r="H7">
        <v>0</v>
      </c>
      <c r="I7">
        <v>1605882.36</v>
      </c>
      <c r="J7">
        <v>74000</v>
      </c>
      <c r="K7">
        <v>0</v>
      </c>
      <c r="L7">
        <v>305117.64</v>
      </c>
      <c r="M7">
        <v>1985000</v>
      </c>
      <c r="N7">
        <v>0</v>
      </c>
      <c r="O7">
        <v>1605882.36</v>
      </c>
      <c r="P7">
        <v>459047</v>
      </c>
      <c r="Q7">
        <v>1146835.3600000001</v>
      </c>
      <c r="R7">
        <v>0</v>
      </c>
      <c r="S7">
        <v>21</v>
      </c>
      <c r="T7">
        <v>0</v>
      </c>
      <c r="U7">
        <v>0</v>
      </c>
      <c r="V7" s="9">
        <v>46189.853409826392</v>
      </c>
    </row>
    <row r="8" spans="1:22" x14ac:dyDescent="0.2">
      <c r="A8" s="8">
        <v>45815</v>
      </c>
      <c r="B8">
        <v>7</v>
      </c>
      <c r="C8">
        <v>2.6</v>
      </c>
      <c r="D8">
        <v>172148.86199999999</v>
      </c>
      <c r="E8">
        <v>0</v>
      </c>
      <c r="F8">
        <v>1230252.1200000001</v>
      </c>
      <c r="G8">
        <v>-25210.080000000002</v>
      </c>
      <c r="H8">
        <v>0</v>
      </c>
      <c r="I8">
        <v>1205042.04</v>
      </c>
      <c r="J8">
        <v>14500</v>
      </c>
      <c r="K8">
        <v>0</v>
      </c>
      <c r="L8">
        <v>228957.96</v>
      </c>
      <c r="M8">
        <v>1448500</v>
      </c>
      <c r="N8">
        <v>151260.5</v>
      </c>
      <c r="O8">
        <v>1053781.54</v>
      </c>
      <c r="P8">
        <v>281437</v>
      </c>
      <c r="Q8">
        <v>772344.54</v>
      </c>
      <c r="R8">
        <v>0</v>
      </c>
      <c r="S8">
        <v>18</v>
      </c>
      <c r="T8">
        <v>0</v>
      </c>
      <c r="U8">
        <v>0</v>
      </c>
      <c r="V8" s="9">
        <v>46189.853409826392</v>
      </c>
    </row>
    <row r="9" spans="1:22" x14ac:dyDescent="0.2">
      <c r="A9" s="8">
        <v>45816</v>
      </c>
      <c r="B9">
        <v>25</v>
      </c>
      <c r="C9">
        <v>1.9</v>
      </c>
      <c r="D9">
        <v>110890.75599999999</v>
      </c>
      <c r="E9">
        <v>0</v>
      </c>
      <c r="F9">
        <v>2772268.92</v>
      </c>
      <c r="G9">
        <v>0</v>
      </c>
      <c r="H9">
        <v>0</v>
      </c>
      <c r="I9">
        <v>2772268.92</v>
      </c>
      <c r="J9">
        <v>41500</v>
      </c>
      <c r="K9">
        <v>0</v>
      </c>
      <c r="L9">
        <v>526731.07999999996</v>
      </c>
      <c r="M9">
        <v>3340500</v>
      </c>
      <c r="N9">
        <v>58823.53</v>
      </c>
      <c r="O9">
        <v>2713445.39</v>
      </c>
      <c r="P9">
        <v>784552</v>
      </c>
      <c r="Q9">
        <v>1928893.39</v>
      </c>
      <c r="R9">
        <v>0</v>
      </c>
      <c r="S9">
        <v>48</v>
      </c>
      <c r="T9">
        <v>0</v>
      </c>
      <c r="U9">
        <v>0</v>
      </c>
      <c r="V9" s="9">
        <v>46189.853409826392</v>
      </c>
    </row>
    <row r="10" spans="1:22" x14ac:dyDescent="0.2">
      <c r="A10" s="8">
        <v>45817</v>
      </c>
      <c r="B10">
        <v>15</v>
      </c>
      <c r="C10">
        <v>1.7</v>
      </c>
      <c r="D10">
        <v>108739.55100000001</v>
      </c>
      <c r="E10">
        <v>-2</v>
      </c>
      <c r="F10">
        <v>1765547.02</v>
      </c>
      <c r="G10">
        <v>-134453.75</v>
      </c>
      <c r="H10">
        <v>-117647.06</v>
      </c>
      <c r="I10">
        <v>1513446.21</v>
      </c>
      <c r="J10">
        <v>77500</v>
      </c>
      <c r="K10">
        <v>0</v>
      </c>
      <c r="L10">
        <v>287554.78999999998</v>
      </c>
      <c r="M10">
        <v>1878501</v>
      </c>
      <c r="N10">
        <v>0.84</v>
      </c>
      <c r="O10">
        <v>1513445.37</v>
      </c>
      <c r="P10">
        <v>434875</v>
      </c>
      <c r="Q10">
        <v>1078570.3700000001</v>
      </c>
      <c r="R10">
        <v>0</v>
      </c>
      <c r="S10">
        <v>24</v>
      </c>
      <c r="T10">
        <v>0</v>
      </c>
      <c r="U10">
        <v>0</v>
      </c>
      <c r="V10" s="9">
        <v>46189.853409826392</v>
      </c>
    </row>
    <row r="11" spans="1:22" x14ac:dyDescent="0.2">
      <c r="A11" s="8">
        <v>45818</v>
      </c>
      <c r="B11">
        <v>13</v>
      </c>
      <c r="C11">
        <v>10.199999999999999</v>
      </c>
      <c r="D11">
        <v>203910.861</v>
      </c>
      <c r="E11">
        <v>0</v>
      </c>
      <c r="F11">
        <v>2660505.06</v>
      </c>
      <c r="G11">
        <v>-9663.86</v>
      </c>
      <c r="H11">
        <v>0</v>
      </c>
      <c r="I11">
        <v>2650841.2000000002</v>
      </c>
      <c r="J11">
        <v>54000</v>
      </c>
      <c r="K11">
        <v>0</v>
      </c>
      <c r="L11">
        <v>503659.8</v>
      </c>
      <c r="M11">
        <v>3208501</v>
      </c>
      <c r="N11">
        <v>0.84</v>
      </c>
      <c r="O11">
        <v>2650840.36</v>
      </c>
      <c r="P11">
        <v>946300</v>
      </c>
      <c r="Q11">
        <v>1704540.36</v>
      </c>
      <c r="R11">
        <v>0</v>
      </c>
      <c r="S11">
        <v>132</v>
      </c>
      <c r="T11">
        <v>0</v>
      </c>
      <c r="U11">
        <v>0</v>
      </c>
      <c r="V11" s="9">
        <v>46189.853409826392</v>
      </c>
    </row>
    <row r="12" spans="1:22" x14ac:dyDescent="0.2">
      <c r="A12" s="8">
        <v>45819</v>
      </c>
      <c r="B12">
        <v>6</v>
      </c>
      <c r="C12">
        <v>2.2000000000000002</v>
      </c>
      <c r="D12">
        <v>233753.50099999999</v>
      </c>
      <c r="E12">
        <v>-1</v>
      </c>
      <c r="F12">
        <v>1499159.67</v>
      </c>
      <c r="G12">
        <v>0</v>
      </c>
      <c r="H12">
        <v>-96638.66</v>
      </c>
      <c r="I12">
        <v>1402521.01</v>
      </c>
      <c r="J12">
        <v>30000</v>
      </c>
      <c r="K12">
        <v>0</v>
      </c>
      <c r="L12">
        <v>266478.99</v>
      </c>
      <c r="M12">
        <v>1699000</v>
      </c>
      <c r="N12">
        <v>420168.07</v>
      </c>
      <c r="O12">
        <v>982352.94</v>
      </c>
      <c r="P12">
        <v>238451</v>
      </c>
      <c r="Q12">
        <v>743901.94</v>
      </c>
      <c r="R12">
        <v>0</v>
      </c>
      <c r="S12">
        <v>13</v>
      </c>
      <c r="T12">
        <v>0</v>
      </c>
      <c r="U12">
        <v>0</v>
      </c>
      <c r="V12" s="9">
        <v>46189.853409826392</v>
      </c>
    </row>
    <row r="13" spans="1:22" x14ac:dyDescent="0.2">
      <c r="A13" s="8">
        <v>45820</v>
      </c>
      <c r="B13">
        <v>8</v>
      </c>
      <c r="C13">
        <v>2.4</v>
      </c>
      <c r="D13">
        <v>207878.15100000001</v>
      </c>
      <c r="E13">
        <v>0</v>
      </c>
      <c r="F13">
        <v>1753781.51</v>
      </c>
      <c r="G13">
        <v>-90756.3</v>
      </c>
      <c r="H13">
        <v>0</v>
      </c>
      <c r="I13">
        <v>1663025.21</v>
      </c>
      <c r="J13">
        <v>36000</v>
      </c>
      <c r="K13">
        <v>0</v>
      </c>
      <c r="L13">
        <v>315974.78999999998</v>
      </c>
      <c r="M13">
        <v>2015000</v>
      </c>
      <c r="N13">
        <v>0</v>
      </c>
      <c r="O13">
        <v>1663025.21</v>
      </c>
      <c r="P13">
        <v>464016</v>
      </c>
      <c r="Q13">
        <v>1199009.21</v>
      </c>
      <c r="R13">
        <v>0</v>
      </c>
      <c r="S13">
        <v>19</v>
      </c>
      <c r="T13">
        <v>0</v>
      </c>
      <c r="U13">
        <v>0</v>
      </c>
      <c r="V13" s="9">
        <v>46189.853409826392</v>
      </c>
    </row>
    <row r="14" spans="1:22" x14ac:dyDescent="0.2">
      <c r="A14" s="8">
        <v>45821</v>
      </c>
      <c r="B14">
        <v>7</v>
      </c>
      <c r="C14">
        <v>1.4</v>
      </c>
      <c r="D14">
        <v>96278.510999999999</v>
      </c>
      <c r="E14">
        <v>0</v>
      </c>
      <c r="F14">
        <v>673949.58</v>
      </c>
      <c r="G14">
        <v>0</v>
      </c>
      <c r="H14">
        <v>0</v>
      </c>
      <c r="I14">
        <v>673949.58</v>
      </c>
      <c r="J14">
        <v>27000</v>
      </c>
      <c r="K14">
        <v>0</v>
      </c>
      <c r="L14">
        <v>128050.42</v>
      </c>
      <c r="M14">
        <v>829000</v>
      </c>
      <c r="N14">
        <v>0</v>
      </c>
      <c r="O14">
        <v>673949.58</v>
      </c>
      <c r="P14">
        <v>163184</v>
      </c>
      <c r="Q14">
        <v>510765.58</v>
      </c>
      <c r="R14">
        <v>0</v>
      </c>
      <c r="S14">
        <v>10</v>
      </c>
      <c r="T14">
        <v>0</v>
      </c>
      <c r="U14">
        <v>0</v>
      </c>
      <c r="V14" s="9">
        <v>46189.853409826392</v>
      </c>
    </row>
    <row r="15" spans="1:22" x14ac:dyDescent="0.2">
      <c r="A15" s="8">
        <v>45822</v>
      </c>
      <c r="B15">
        <v>9</v>
      </c>
      <c r="C15">
        <v>1.7</v>
      </c>
      <c r="D15">
        <v>118113.913</v>
      </c>
      <c r="E15">
        <v>0</v>
      </c>
      <c r="F15">
        <v>1063025.22</v>
      </c>
      <c r="G15">
        <v>0</v>
      </c>
      <c r="H15">
        <v>0</v>
      </c>
      <c r="I15">
        <v>1063025.22</v>
      </c>
      <c r="J15">
        <v>57000</v>
      </c>
      <c r="K15">
        <v>0</v>
      </c>
      <c r="L15">
        <v>201974.78</v>
      </c>
      <c r="M15">
        <v>1322000</v>
      </c>
      <c r="N15">
        <v>105882.35</v>
      </c>
      <c r="O15">
        <v>957142.87</v>
      </c>
      <c r="P15">
        <v>270677</v>
      </c>
      <c r="Q15">
        <v>686465.87</v>
      </c>
      <c r="R15">
        <v>0</v>
      </c>
      <c r="S15">
        <v>15</v>
      </c>
      <c r="T15">
        <v>0</v>
      </c>
      <c r="U15">
        <v>0</v>
      </c>
      <c r="V15" s="9">
        <v>46189.853409826392</v>
      </c>
    </row>
    <row r="16" spans="1:22" x14ac:dyDescent="0.2">
      <c r="A16" s="8">
        <v>45823</v>
      </c>
      <c r="B16">
        <v>7</v>
      </c>
      <c r="C16">
        <v>1.7</v>
      </c>
      <c r="D16">
        <v>109843.935</v>
      </c>
      <c r="E16">
        <v>0</v>
      </c>
      <c r="F16">
        <v>768907.55</v>
      </c>
      <c r="G16">
        <v>0</v>
      </c>
      <c r="H16">
        <v>0</v>
      </c>
      <c r="I16">
        <v>768907.55</v>
      </c>
      <c r="J16">
        <v>89500</v>
      </c>
      <c r="K16">
        <v>0</v>
      </c>
      <c r="L16">
        <v>146092.45000000001</v>
      </c>
      <c r="M16">
        <v>1004500</v>
      </c>
      <c r="N16">
        <v>0</v>
      </c>
      <c r="O16">
        <v>768907.55</v>
      </c>
      <c r="P16">
        <v>201976</v>
      </c>
      <c r="Q16">
        <v>566931.55000000005</v>
      </c>
      <c r="R16">
        <v>0</v>
      </c>
      <c r="S16">
        <v>12</v>
      </c>
      <c r="T16">
        <v>0</v>
      </c>
      <c r="U16">
        <v>0</v>
      </c>
      <c r="V16" s="9">
        <v>46189.853409826392</v>
      </c>
    </row>
    <row r="17" spans="1:22" x14ac:dyDescent="0.2">
      <c r="A17" s="8">
        <v>45824</v>
      </c>
      <c r="B17">
        <v>13</v>
      </c>
      <c r="C17">
        <v>2.4</v>
      </c>
      <c r="D17">
        <v>180164.83600000001</v>
      </c>
      <c r="E17">
        <v>0</v>
      </c>
      <c r="F17">
        <v>2342142.87</v>
      </c>
      <c r="G17">
        <v>0</v>
      </c>
      <c r="H17">
        <v>0</v>
      </c>
      <c r="I17">
        <v>2342142.87</v>
      </c>
      <c r="J17">
        <v>280000</v>
      </c>
      <c r="K17">
        <v>0</v>
      </c>
      <c r="L17">
        <v>352857.13</v>
      </c>
      <c r="M17">
        <v>2975000</v>
      </c>
      <c r="N17">
        <v>226890.76</v>
      </c>
      <c r="O17">
        <v>2115252.11</v>
      </c>
      <c r="P17">
        <v>594048</v>
      </c>
      <c r="Q17">
        <v>1521204.11</v>
      </c>
      <c r="R17">
        <v>0</v>
      </c>
      <c r="S17">
        <v>31</v>
      </c>
      <c r="T17">
        <v>0</v>
      </c>
      <c r="U17">
        <v>0</v>
      </c>
      <c r="V17" s="9">
        <v>46189.853409826392</v>
      </c>
    </row>
    <row r="18" spans="1:22" x14ac:dyDescent="0.2">
      <c r="A18" s="8">
        <v>45825</v>
      </c>
      <c r="B18">
        <v>13</v>
      </c>
      <c r="C18">
        <v>1.5</v>
      </c>
      <c r="D18">
        <v>95410.535999999993</v>
      </c>
      <c r="E18">
        <v>-7</v>
      </c>
      <c r="F18">
        <v>1240336.97</v>
      </c>
      <c r="G18">
        <v>0</v>
      </c>
      <c r="H18">
        <v>-331932.77</v>
      </c>
      <c r="I18">
        <v>908404.2</v>
      </c>
      <c r="J18">
        <v>80500</v>
      </c>
      <c r="K18">
        <v>0</v>
      </c>
      <c r="L18">
        <v>172596.8</v>
      </c>
      <c r="M18">
        <v>1161501</v>
      </c>
      <c r="N18">
        <v>42017.64</v>
      </c>
      <c r="O18">
        <v>866386.56</v>
      </c>
      <c r="P18">
        <v>218579</v>
      </c>
      <c r="Q18">
        <v>647807.56000000006</v>
      </c>
      <c r="R18">
        <v>0</v>
      </c>
      <c r="S18">
        <v>12</v>
      </c>
      <c r="T18">
        <v>0</v>
      </c>
      <c r="U18">
        <v>0</v>
      </c>
      <c r="V18" s="9">
        <v>46189.853409826392</v>
      </c>
    </row>
    <row r="19" spans="1:22" x14ac:dyDescent="0.2">
      <c r="A19" s="8">
        <v>45826</v>
      </c>
      <c r="B19">
        <v>20</v>
      </c>
      <c r="C19">
        <v>1.5</v>
      </c>
      <c r="D19">
        <v>86344.538</v>
      </c>
      <c r="E19">
        <v>-1</v>
      </c>
      <c r="F19">
        <v>1785714.3</v>
      </c>
      <c r="G19">
        <v>0</v>
      </c>
      <c r="H19">
        <v>-58823.53</v>
      </c>
      <c r="I19">
        <v>1726890.77</v>
      </c>
      <c r="J19">
        <v>101500</v>
      </c>
      <c r="K19">
        <v>0</v>
      </c>
      <c r="L19">
        <v>328109.23</v>
      </c>
      <c r="M19">
        <v>2156500</v>
      </c>
      <c r="N19">
        <v>0</v>
      </c>
      <c r="O19">
        <v>1726890.77</v>
      </c>
      <c r="P19">
        <v>500967</v>
      </c>
      <c r="Q19">
        <v>1225923.77</v>
      </c>
      <c r="R19">
        <v>0</v>
      </c>
      <c r="S19">
        <v>30</v>
      </c>
      <c r="T19">
        <v>0</v>
      </c>
      <c r="U19">
        <v>0</v>
      </c>
      <c r="V19" s="9">
        <v>46189.853409826392</v>
      </c>
    </row>
    <row r="20" spans="1:22" x14ac:dyDescent="0.2">
      <c r="A20" s="8">
        <v>45827</v>
      </c>
      <c r="B20">
        <v>34</v>
      </c>
      <c r="C20">
        <v>2</v>
      </c>
      <c r="D20">
        <v>104448.83900000001</v>
      </c>
      <c r="E20">
        <v>0</v>
      </c>
      <c r="F20">
        <v>3748739.51</v>
      </c>
      <c r="G20">
        <v>-197478.98</v>
      </c>
      <c r="H20">
        <v>0</v>
      </c>
      <c r="I20">
        <v>3551260.53</v>
      </c>
      <c r="J20">
        <v>68000</v>
      </c>
      <c r="K20">
        <v>0</v>
      </c>
      <c r="L20">
        <v>674739.47</v>
      </c>
      <c r="M20">
        <v>4294000</v>
      </c>
      <c r="N20">
        <v>100840.33</v>
      </c>
      <c r="O20">
        <v>3450420.2</v>
      </c>
      <c r="P20">
        <v>1128772</v>
      </c>
      <c r="Q20">
        <v>2321648.2000000002</v>
      </c>
      <c r="R20">
        <v>0</v>
      </c>
      <c r="S20">
        <v>68</v>
      </c>
      <c r="T20">
        <v>0</v>
      </c>
      <c r="U20">
        <v>0</v>
      </c>
      <c r="V20" s="9">
        <v>46189.853409826392</v>
      </c>
    </row>
    <row r="21" spans="1:22" x14ac:dyDescent="0.2">
      <c r="A21" s="8">
        <v>45828</v>
      </c>
      <c r="B21">
        <v>27</v>
      </c>
      <c r="C21">
        <v>2</v>
      </c>
      <c r="D21">
        <v>102645.503</v>
      </c>
      <c r="E21">
        <v>0</v>
      </c>
      <c r="F21">
        <v>2821848.75</v>
      </c>
      <c r="G21">
        <v>-50420.160000000003</v>
      </c>
      <c r="H21">
        <v>0</v>
      </c>
      <c r="I21">
        <v>2771428.59</v>
      </c>
      <c r="J21">
        <v>62500</v>
      </c>
      <c r="K21">
        <v>0</v>
      </c>
      <c r="L21">
        <v>526571.41</v>
      </c>
      <c r="M21">
        <v>3360500</v>
      </c>
      <c r="N21">
        <v>0</v>
      </c>
      <c r="O21">
        <v>2771428.59</v>
      </c>
      <c r="P21">
        <v>724933.12</v>
      </c>
      <c r="Q21">
        <v>2046495.47</v>
      </c>
      <c r="R21">
        <v>0</v>
      </c>
      <c r="S21">
        <v>53</v>
      </c>
      <c r="T21">
        <v>0</v>
      </c>
      <c r="U21">
        <v>0</v>
      </c>
      <c r="V21" s="9">
        <v>46189.853409826392</v>
      </c>
    </row>
    <row r="22" spans="1:22" x14ac:dyDescent="0.2">
      <c r="A22" s="8">
        <v>45829</v>
      </c>
      <c r="B22">
        <v>36</v>
      </c>
      <c r="C22">
        <v>1.7</v>
      </c>
      <c r="D22">
        <v>83636.788</v>
      </c>
      <c r="E22">
        <v>0</v>
      </c>
      <c r="F22">
        <v>3010924.37</v>
      </c>
      <c r="G22">
        <v>0</v>
      </c>
      <c r="H22">
        <v>0</v>
      </c>
      <c r="I22">
        <v>3010924.37</v>
      </c>
      <c r="J22">
        <v>36000</v>
      </c>
      <c r="K22">
        <v>0</v>
      </c>
      <c r="L22">
        <v>572075.63</v>
      </c>
      <c r="M22">
        <v>3619000</v>
      </c>
      <c r="N22">
        <v>0</v>
      </c>
      <c r="O22">
        <v>3010924.37</v>
      </c>
      <c r="P22">
        <v>757275</v>
      </c>
      <c r="Q22">
        <v>2253649.37</v>
      </c>
      <c r="R22">
        <v>0</v>
      </c>
      <c r="S22">
        <v>61</v>
      </c>
      <c r="T22">
        <v>0</v>
      </c>
      <c r="U22">
        <v>0</v>
      </c>
      <c r="V22" s="9">
        <v>46189.853409826392</v>
      </c>
    </row>
    <row r="23" spans="1:22" x14ac:dyDescent="0.2">
      <c r="A23" s="8">
        <v>45830</v>
      </c>
      <c r="B23">
        <v>27</v>
      </c>
      <c r="C23">
        <v>1.7</v>
      </c>
      <c r="D23">
        <v>115610.022</v>
      </c>
      <c r="E23">
        <v>-4</v>
      </c>
      <c r="F23">
        <v>3191470.61</v>
      </c>
      <c r="G23">
        <v>-70000</v>
      </c>
      <c r="H23">
        <v>-441176.47</v>
      </c>
      <c r="I23">
        <v>2680294.14</v>
      </c>
      <c r="J23">
        <v>54000</v>
      </c>
      <c r="K23">
        <v>0</v>
      </c>
      <c r="L23">
        <v>500705.86</v>
      </c>
      <c r="M23">
        <v>3235000</v>
      </c>
      <c r="N23">
        <v>0</v>
      </c>
      <c r="O23">
        <v>2680294.14</v>
      </c>
      <c r="P23">
        <v>793531</v>
      </c>
      <c r="Q23">
        <v>1886763.14</v>
      </c>
      <c r="R23">
        <v>0</v>
      </c>
      <c r="S23">
        <v>43</v>
      </c>
      <c r="T23">
        <v>0</v>
      </c>
      <c r="U23">
        <v>0</v>
      </c>
      <c r="V23" s="9">
        <v>46189.853409826392</v>
      </c>
    </row>
    <row r="24" spans="1:22" x14ac:dyDescent="0.2">
      <c r="A24" s="8">
        <v>45831</v>
      </c>
      <c r="B24">
        <v>43</v>
      </c>
      <c r="C24">
        <v>1.5</v>
      </c>
      <c r="D24">
        <v>90893.101999999999</v>
      </c>
      <c r="E24">
        <v>0</v>
      </c>
      <c r="F24">
        <v>3958823.57</v>
      </c>
      <c r="G24">
        <v>-50420.17</v>
      </c>
      <c r="H24">
        <v>0</v>
      </c>
      <c r="I24">
        <v>3908403.4</v>
      </c>
      <c r="J24">
        <v>38000</v>
      </c>
      <c r="K24">
        <v>0</v>
      </c>
      <c r="L24">
        <v>742596.6</v>
      </c>
      <c r="M24">
        <v>4689000</v>
      </c>
      <c r="N24">
        <v>0</v>
      </c>
      <c r="O24">
        <v>3908403.4</v>
      </c>
      <c r="P24">
        <v>982570</v>
      </c>
      <c r="Q24">
        <v>2925833.4</v>
      </c>
      <c r="R24">
        <v>0</v>
      </c>
      <c r="S24">
        <v>66</v>
      </c>
      <c r="T24">
        <v>0</v>
      </c>
      <c r="U24">
        <v>0</v>
      </c>
      <c r="V24" s="9">
        <v>46189.853409826392</v>
      </c>
    </row>
    <row r="25" spans="1:22" x14ac:dyDescent="0.2">
      <c r="A25" s="8">
        <v>45832</v>
      </c>
      <c r="B25">
        <v>9</v>
      </c>
      <c r="C25">
        <v>11.7</v>
      </c>
      <c r="D25">
        <v>934733.89500000002</v>
      </c>
      <c r="E25">
        <v>0</v>
      </c>
      <c r="F25">
        <v>9688235.3100000005</v>
      </c>
      <c r="G25">
        <v>-1300840.33</v>
      </c>
      <c r="H25">
        <v>0</v>
      </c>
      <c r="I25">
        <v>8387394.9800000004</v>
      </c>
      <c r="J25">
        <v>176500</v>
      </c>
      <c r="K25">
        <v>0</v>
      </c>
      <c r="L25">
        <v>1593605.02</v>
      </c>
      <c r="M25">
        <v>10157500</v>
      </c>
      <c r="N25">
        <v>0</v>
      </c>
      <c r="O25">
        <v>8387394.9800000004</v>
      </c>
      <c r="P25">
        <v>4005430</v>
      </c>
      <c r="Q25">
        <v>4381964.9800000004</v>
      </c>
      <c r="R25">
        <v>0</v>
      </c>
      <c r="S25">
        <v>105</v>
      </c>
      <c r="T25">
        <v>0</v>
      </c>
      <c r="U25">
        <v>0</v>
      </c>
      <c r="V25" s="9">
        <v>46189.853409826392</v>
      </c>
    </row>
    <row r="26" spans="1:22" x14ac:dyDescent="0.2">
      <c r="A26" s="8">
        <v>45833</v>
      </c>
      <c r="B26">
        <v>9</v>
      </c>
      <c r="C26">
        <v>1.8</v>
      </c>
      <c r="D26">
        <v>149112.98000000001</v>
      </c>
      <c r="E26">
        <v>-4</v>
      </c>
      <c r="F26">
        <v>1342016.82</v>
      </c>
      <c r="G26">
        <v>0</v>
      </c>
      <c r="H26">
        <v>-219067.24</v>
      </c>
      <c r="I26">
        <v>1122949.58</v>
      </c>
      <c r="J26">
        <v>128500</v>
      </c>
      <c r="K26">
        <v>0</v>
      </c>
      <c r="L26">
        <v>189800.42</v>
      </c>
      <c r="M26">
        <v>1441250</v>
      </c>
      <c r="N26">
        <v>0</v>
      </c>
      <c r="O26">
        <v>998949.58</v>
      </c>
      <c r="P26">
        <v>467266</v>
      </c>
      <c r="Q26">
        <v>531683.57999999996</v>
      </c>
      <c r="R26">
        <v>0</v>
      </c>
      <c r="S26">
        <v>12</v>
      </c>
      <c r="T26">
        <v>0</v>
      </c>
      <c r="U26">
        <v>0</v>
      </c>
      <c r="V26" s="9">
        <v>46189.853409826392</v>
      </c>
    </row>
    <row r="27" spans="1:22" x14ac:dyDescent="0.2">
      <c r="A27" s="8">
        <v>45834</v>
      </c>
      <c r="B27">
        <v>11</v>
      </c>
      <c r="C27">
        <v>1.8</v>
      </c>
      <c r="D27">
        <v>111027.50199999999</v>
      </c>
      <c r="E27">
        <v>0</v>
      </c>
      <c r="F27">
        <v>1221302.53</v>
      </c>
      <c r="G27">
        <v>0</v>
      </c>
      <c r="H27">
        <v>0</v>
      </c>
      <c r="I27">
        <v>1221302.53</v>
      </c>
      <c r="J27">
        <v>99500</v>
      </c>
      <c r="K27">
        <v>0</v>
      </c>
      <c r="L27">
        <v>219697.47</v>
      </c>
      <c r="M27">
        <v>1540500</v>
      </c>
      <c r="N27">
        <v>0</v>
      </c>
      <c r="O27">
        <v>1221302.53</v>
      </c>
      <c r="P27">
        <v>351596</v>
      </c>
      <c r="Q27">
        <v>869706.53</v>
      </c>
      <c r="R27">
        <v>0</v>
      </c>
      <c r="S27">
        <v>20</v>
      </c>
      <c r="T27">
        <v>0</v>
      </c>
      <c r="U27">
        <v>0</v>
      </c>
      <c r="V27" s="9">
        <v>46189.853409826392</v>
      </c>
    </row>
    <row r="28" spans="1:22" x14ac:dyDescent="0.2">
      <c r="A28" s="8">
        <v>45835</v>
      </c>
      <c r="B28">
        <v>7</v>
      </c>
      <c r="C28">
        <v>7.4</v>
      </c>
      <c r="D28">
        <v>187635.05499999999</v>
      </c>
      <c r="E28">
        <v>0</v>
      </c>
      <c r="F28">
        <v>1313445.3899999999</v>
      </c>
      <c r="G28">
        <v>0</v>
      </c>
      <c r="H28">
        <v>0</v>
      </c>
      <c r="I28">
        <v>1313445.3899999999</v>
      </c>
      <c r="J28">
        <v>32501</v>
      </c>
      <c r="K28">
        <v>0</v>
      </c>
      <c r="L28">
        <v>249554.61</v>
      </c>
      <c r="M28">
        <v>1595501</v>
      </c>
      <c r="N28">
        <v>0</v>
      </c>
      <c r="O28">
        <v>1313445.3899999999</v>
      </c>
      <c r="P28">
        <v>422950</v>
      </c>
      <c r="Q28">
        <v>890495.39</v>
      </c>
      <c r="R28">
        <v>0</v>
      </c>
      <c r="S28">
        <v>52</v>
      </c>
      <c r="T28">
        <v>0</v>
      </c>
      <c r="U28">
        <v>0</v>
      </c>
      <c r="V28" s="9">
        <v>46189.853409826392</v>
      </c>
    </row>
    <row r="29" spans="1:22" x14ac:dyDescent="0.2">
      <c r="A29" s="8">
        <v>45836</v>
      </c>
      <c r="B29">
        <v>4</v>
      </c>
      <c r="C29">
        <v>1.8</v>
      </c>
      <c r="D29">
        <v>194327.73199999999</v>
      </c>
      <c r="E29">
        <v>0</v>
      </c>
      <c r="F29">
        <v>781512.61</v>
      </c>
      <c r="G29">
        <v>-4201.68</v>
      </c>
      <c r="H29">
        <v>0</v>
      </c>
      <c r="I29">
        <v>777310.93</v>
      </c>
      <c r="J29">
        <v>32500</v>
      </c>
      <c r="K29">
        <v>0</v>
      </c>
      <c r="L29">
        <v>147689.07</v>
      </c>
      <c r="M29">
        <v>957500</v>
      </c>
      <c r="N29">
        <v>0</v>
      </c>
      <c r="O29">
        <v>777310.93</v>
      </c>
      <c r="P29">
        <v>269895</v>
      </c>
      <c r="Q29">
        <v>507415.93</v>
      </c>
      <c r="R29">
        <v>0</v>
      </c>
      <c r="S29">
        <v>7</v>
      </c>
      <c r="T29">
        <v>0</v>
      </c>
      <c r="U29">
        <v>0</v>
      </c>
      <c r="V29" s="9">
        <v>46189.853409826392</v>
      </c>
    </row>
    <row r="30" spans="1:22" x14ac:dyDescent="0.2">
      <c r="A30" s="8">
        <v>45837</v>
      </c>
      <c r="B30">
        <v>2</v>
      </c>
      <c r="C30">
        <v>1.5</v>
      </c>
      <c r="D30">
        <v>134453.785</v>
      </c>
      <c r="E30">
        <v>0</v>
      </c>
      <c r="F30">
        <v>268907.57</v>
      </c>
      <c r="G30">
        <v>0</v>
      </c>
      <c r="H30">
        <v>0</v>
      </c>
      <c r="I30">
        <v>268907.57</v>
      </c>
      <c r="J30">
        <v>18000</v>
      </c>
      <c r="K30">
        <v>0</v>
      </c>
      <c r="L30">
        <v>51092.43</v>
      </c>
      <c r="M30">
        <v>338000</v>
      </c>
      <c r="N30">
        <v>0</v>
      </c>
      <c r="O30">
        <v>268907.57</v>
      </c>
      <c r="P30">
        <v>64138</v>
      </c>
      <c r="Q30">
        <v>204769.57</v>
      </c>
      <c r="R30">
        <v>0</v>
      </c>
      <c r="S30">
        <v>3</v>
      </c>
      <c r="T30">
        <v>0</v>
      </c>
      <c r="U30">
        <v>0</v>
      </c>
      <c r="V30" s="9">
        <v>46189.853409826392</v>
      </c>
    </row>
    <row r="31" spans="1:22" x14ac:dyDescent="0.2">
      <c r="A31" s="8">
        <v>45838</v>
      </c>
      <c r="B31">
        <v>4</v>
      </c>
      <c r="C31">
        <v>3.2</v>
      </c>
      <c r="D31">
        <v>233193.277</v>
      </c>
      <c r="E31">
        <v>0</v>
      </c>
      <c r="F31">
        <v>932773.11</v>
      </c>
      <c r="G31">
        <v>0</v>
      </c>
      <c r="H31">
        <v>0</v>
      </c>
      <c r="I31">
        <v>932773.11</v>
      </c>
      <c r="J31">
        <v>27000</v>
      </c>
      <c r="K31">
        <v>0</v>
      </c>
      <c r="L31">
        <v>177226.89</v>
      </c>
      <c r="M31">
        <v>1137000</v>
      </c>
      <c r="N31">
        <v>0</v>
      </c>
      <c r="O31">
        <v>932773.11</v>
      </c>
      <c r="P31">
        <v>323935</v>
      </c>
      <c r="Q31">
        <v>608838.11</v>
      </c>
      <c r="R31">
        <v>0</v>
      </c>
      <c r="S31">
        <v>13</v>
      </c>
      <c r="T31">
        <v>0</v>
      </c>
      <c r="U31">
        <v>0</v>
      </c>
      <c r="V31" s="9">
        <v>46189.853409826392</v>
      </c>
    </row>
    <row r="32" spans="1:22" x14ac:dyDescent="0.2">
      <c r="A32" s="8">
        <v>45839</v>
      </c>
      <c r="B32">
        <v>7</v>
      </c>
      <c r="C32">
        <v>1.3</v>
      </c>
      <c r="D32">
        <v>120528.211</v>
      </c>
      <c r="E32">
        <v>0</v>
      </c>
      <c r="F32">
        <v>852100.84</v>
      </c>
      <c r="G32">
        <v>-8403.36</v>
      </c>
      <c r="H32">
        <v>0</v>
      </c>
      <c r="I32">
        <v>843697.48</v>
      </c>
      <c r="J32">
        <v>18000</v>
      </c>
      <c r="K32">
        <v>0</v>
      </c>
      <c r="L32">
        <v>160302.51999999999</v>
      </c>
      <c r="M32">
        <v>1022000</v>
      </c>
      <c r="N32">
        <v>0</v>
      </c>
      <c r="O32">
        <v>843697.48</v>
      </c>
      <c r="P32">
        <v>220086</v>
      </c>
      <c r="Q32">
        <v>623611.48</v>
      </c>
      <c r="R32">
        <v>0</v>
      </c>
      <c r="S32">
        <v>9</v>
      </c>
      <c r="T32">
        <v>0</v>
      </c>
      <c r="U32">
        <v>0</v>
      </c>
      <c r="V32" s="9">
        <v>46189.853409826392</v>
      </c>
    </row>
    <row r="33" spans="1:22" x14ac:dyDescent="0.2">
      <c r="A33" s="8">
        <v>45840</v>
      </c>
      <c r="B33">
        <v>11</v>
      </c>
      <c r="C33">
        <v>2.1</v>
      </c>
      <c r="D33">
        <v>123529.412</v>
      </c>
      <c r="E33">
        <v>0</v>
      </c>
      <c r="F33">
        <v>1358823.54</v>
      </c>
      <c r="G33">
        <v>0</v>
      </c>
      <c r="H33">
        <v>0</v>
      </c>
      <c r="I33">
        <v>1358823.54</v>
      </c>
      <c r="J33">
        <v>32501</v>
      </c>
      <c r="K33">
        <v>0</v>
      </c>
      <c r="L33">
        <v>258176.46</v>
      </c>
      <c r="M33">
        <v>1649501</v>
      </c>
      <c r="N33">
        <v>46218.48</v>
      </c>
      <c r="O33">
        <v>1312605.06</v>
      </c>
      <c r="P33">
        <v>364823</v>
      </c>
      <c r="Q33">
        <v>947782.06</v>
      </c>
      <c r="R33">
        <v>0</v>
      </c>
      <c r="S33">
        <v>23</v>
      </c>
      <c r="T33">
        <v>0</v>
      </c>
      <c r="U33">
        <v>0</v>
      </c>
      <c r="V33" s="9">
        <v>46189.853409826392</v>
      </c>
    </row>
    <row r="34" spans="1:22" x14ac:dyDescent="0.2">
      <c r="A34" s="8">
        <v>45841</v>
      </c>
      <c r="B34">
        <v>9</v>
      </c>
      <c r="C34">
        <v>1.7</v>
      </c>
      <c r="D34">
        <v>90663.024000000005</v>
      </c>
      <c r="E34">
        <v>0</v>
      </c>
      <c r="F34">
        <v>815967.22</v>
      </c>
      <c r="G34">
        <v>0</v>
      </c>
      <c r="H34">
        <v>0</v>
      </c>
      <c r="I34">
        <v>815967.22</v>
      </c>
      <c r="J34">
        <v>77000</v>
      </c>
      <c r="K34">
        <v>0</v>
      </c>
      <c r="L34">
        <v>155033.78</v>
      </c>
      <c r="M34">
        <v>1048001</v>
      </c>
      <c r="N34">
        <v>0.84</v>
      </c>
      <c r="O34">
        <v>815966.38</v>
      </c>
      <c r="P34">
        <v>234454</v>
      </c>
      <c r="Q34">
        <v>581512.38</v>
      </c>
      <c r="R34">
        <v>0</v>
      </c>
      <c r="S34">
        <v>15</v>
      </c>
      <c r="T34">
        <v>0</v>
      </c>
      <c r="U34">
        <v>0</v>
      </c>
      <c r="V34" s="9">
        <v>46189.853409826392</v>
      </c>
    </row>
    <row r="35" spans="1:22" x14ac:dyDescent="0.2">
      <c r="A35" s="8">
        <v>45842</v>
      </c>
      <c r="B35">
        <v>6</v>
      </c>
      <c r="C35">
        <v>2.2000000000000002</v>
      </c>
      <c r="D35">
        <v>160364.14600000001</v>
      </c>
      <c r="E35">
        <v>0</v>
      </c>
      <c r="F35">
        <v>1214285.72</v>
      </c>
      <c r="G35">
        <v>0</v>
      </c>
      <c r="H35">
        <v>0</v>
      </c>
      <c r="I35">
        <v>1214285.72</v>
      </c>
      <c r="J35">
        <v>23500</v>
      </c>
      <c r="K35">
        <v>0</v>
      </c>
      <c r="L35">
        <v>230714.28</v>
      </c>
      <c r="M35">
        <v>1468500</v>
      </c>
      <c r="N35">
        <v>0</v>
      </c>
      <c r="O35">
        <v>1214285.72</v>
      </c>
      <c r="P35">
        <v>242311</v>
      </c>
      <c r="Q35">
        <v>971974.72</v>
      </c>
      <c r="R35">
        <v>0</v>
      </c>
      <c r="S35">
        <v>15</v>
      </c>
      <c r="T35">
        <v>0</v>
      </c>
      <c r="U35">
        <v>0</v>
      </c>
      <c r="V35" s="9">
        <v>46189.853409826392</v>
      </c>
    </row>
    <row r="36" spans="1:22" x14ac:dyDescent="0.2">
      <c r="A36" s="8">
        <v>45843</v>
      </c>
      <c r="B36">
        <v>8</v>
      </c>
      <c r="C36">
        <v>2.4</v>
      </c>
      <c r="D36">
        <v>113970.59</v>
      </c>
      <c r="E36">
        <v>0</v>
      </c>
      <c r="F36">
        <v>987394.97</v>
      </c>
      <c r="G36">
        <v>-75630.25</v>
      </c>
      <c r="H36">
        <v>0</v>
      </c>
      <c r="I36">
        <v>911764.72</v>
      </c>
      <c r="J36">
        <v>23500</v>
      </c>
      <c r="K36">
        <v>0</v>
      </c>
      <c r="L36">
        <v>173235.28</v>
      </c>
      <c r="M36">
        <v>1108500</v>
      </c>
      <c r="N36">
        <v>0</v>
      </c>
      <c r="O36">
        <v>911764.72</v>
      </c>
      <c r="P36">
        <v>280646</v>
      </c>
      <c r="Q36">
        <v>631118.72</v>
      </c>
      <c r="R36">
        <v>0</v>
      </c>
      <c r="S36">
        <v>19</v>
      </c>
      <c r="T36">
        <v>0</v>
      </c>
      <c r="U36">
        <v>0</v>
      </c>
      <c r="V36" s="9">
        <v>46189.853409826392</v>
      </c>
    </row>
    <row r="37" spans="1:22" x14ac:dyDescent="0.2">
      <c r="A37" s="8">
        <v>45844</v>
      </c>
      <c r="B37">
        <v>1</v>
      </c>
      <c r="C37">
        <v>3</v>
      </c>
      <c r="D37">
        <v>176470.59</v>
      </c>
      <c r="E37">
        <v>0</v>
      </c>
      <c r="F37">
        <v>176470.59</v>
      </c>
      <c r="G37">
        <v>0</v>
      </c>
      <c r="H37">
        <v>0</v>
      </c>
      <c r="I37">
        <v>176470.59</v>
      </c>
      <c r="J37">
        <v>9000</v>
      </c>
      <c r="K37">
        <v>0</v>
      </c>
      <c r="L37">
        <v>33529.410000000003</v>
      </c>
      <c r="M37">
        <v>219000</v>
      </c>
      <c r="N37">
        <v>0</v>
      </c>
      <c r="O37">
        <v>176470.59</v>
      </c>
      <c r="P37">
        <v>48975</v>
      </c>
      <c r="Q37">
        <v>127495.59</v>
      </c>
      <c r="R37">
        <v>0</v>
      </c>
      <c r="S37">
        <v>3</v>
      </c>
      <c r="T37">
        <v>0</v>
      </c>
      <c r="U37">
        <v>0</v>
      </c>
      <c r="V37" s="9">
        <v>46189.853409826392</v>
      </c>
    </row>
    <row r="38" spans="1:22" x14ac:dyDescent="0.2">
      <c r="A38" s="8">
        <v>45845</v>
      </c>
      <c r="B38">
        <v>8</v>
      </c>
      <c r="C38">
        <v>2.4</v>
      </c>
      <c r="D38">
        <v>139810.92499999999</v>
      </c>
      <c r="E38">
        <v>0</v>
      </c>
      <c r="F38">
        <v>1140336.1399999999</v>
      </c>
      <c r="G38">
        <v>0</v>
      </c>
      <c r="H38">
        <v>0</v>
      </c>
      <c r="I38">
        <v>1140336.1399999999</v>
      </c>
      <c r="J38">
        <v>50500</v>
      </c>
      <c r="K38">
        <v>0</v>
      </c>
      <c r="L38">
        <v>216663.86</v>
      </c>
      <c r="M38">
        <v>1407500</v>
      </c>
      <c r="N38">
        <v>0</v>
      </c>
      <c r="O38">
        <v>1140336.1399999999</v>
      </c>
      <c r="P38">
        <v>329830</v>
      </c>
      <c r="Q38">
        <v>810506.14</v>
      </c>
      <c r="R38">
        <v>0</v>
      </c>
      <c r="S38">
        <v>20</v>
      </c>
      <c r="T38">
        <v>0</v>
      </c>
      <c r="U38">
        <v>0</v>
      </c>
      <c r="V38" s="9">
        <v>46189.853409826392</v>
      </c>
    </row>
    <row r="39" spans="1:22" x14ac:dyDescent="0.2">
      <c r="A39" s="8">
        <v>45846</v>
      </c>
      <c r="B39">
        <v>7</v>
      </c>
      <c r="C39">
        <v>4.0999999999999996</v>
      </c>
      <c r="D39">
        <v>80672.267999999996</v>
      </c>
      <c r="E39">
        <v>-1</v>
      </c>
      <c r="F39">
        <v>615126.05000000005</v>
      </c>
      <c r="G39">
        <v>-50420.17</v>
      </c>
      <c r="H39">
        <v>-126050.42</v>
      </c>
      <c r="I39">
        <v>438655.46</v>
      </c>
      <c r="J39">
        <v>0</v>
      </c>
      <c r="K39">
        <v>0</v>
      </c>
      <c r="L39">
        <v>83344.539999999994</v>
      </c>
      <c r="M39">
        <v>522000</v>
      </c>
      <c r="N39">
        <v>0</v>
      </c>
      <c r="O39">
        <v>438655.46</v>
      </c>
      <c r="P39">
        <v>169844</v>
      </c>
      <c r="Q39">
        <v>268811.46000000002</v>
      </c>
      <c r="R39">
        <v>0</v>
      </c>
      <c r="S39">
        <v>28</v>
      </c>
      <c r="T39">
        <v>0</v>
      </c>
      <c r="U39">
        <v>0</v>
      </c>
      <c r="V39" s="9">
        <v>46189.853409826392</v>
      </c>
    </row>
    <row r="40" spans="1:22" x14ac:dyDescent="0.2">
      <c r="A40" s="8">
        <v>45847</v>
      </c>
      <c r="B40">
        <v>22</v>
      </c>
      <c r="C40">
        <v>2.2999999999999998</v>
      </c>
      <c r="D40">
        <v>171896.48499999999</v>
      </c>
      <c r="E40">
        <v>-2</v>
      </c>
      <c r="F40">
        <v>3827731.05</v>
      </c>
      <c r="G40">
        <v>-46008.36</v>
      </c>
      <c r="H40">
        <v>-105042.02</v>
      </c>
      <c r="I40">
        <v>3676680.67</v>
      </c>
      <c r="J40">
        <v>104000</v>
      </c>
      <c r="K40">
        <v>0</v>
      </c>
      <c r="L40">
        <v>698569.33</v>
      </c>
      <c r="M40">
        <v>4479250</v>
      </c>
      <c r="N40">
        <v>100840.34</v>
      </c>
      <c r="O40">
        <v>3575840.33</v>
      </c>
      <c r="P40">
        <v>1132151</v>
      </c>
      <c r="Q40">
        <v>2443689.33</v>
      </c>
      <c r="R40">
        <v>0</v>
      </c>
      <c r="S40">
        <v>48</v>
      </c>
      <c r="T40">
        <v>0</v>
      </c>
      <c r="U40">
        <v>0</v>
      </c>
      <c r="V40" s="9">
        <v>46189.853409826392</v>
      </c>
    </row>
    <row r="41" spans="1:22" x14ac:dyDescent="0.2">
      <c r="A41" s="8">
        <v>45848</v>
      </c>
      <c r="B41">
        <v>22</v>
      </c>
      <c r="C41">
        <v>1.8</v>
      </c>
      <c r="D41">
        <v>131398.01300000001</v>
      </c>
      <c r="E41">
        <v>0</v>
      </c>
      <c r="F41">
        <v>2890756.3</v>
      </c>
      <c r="G41">
        <v>0</v>
      </c>
      <c r="H41">
        <v>0</v>
      </c>
      <c r="I41">
        <v>2890756.3</v>
      </c>
      <c r="J41">
        <v>125500</v>
      </c>
      <c r="K41">
        <v>0</v>
      </c>
      <c r="L41">
        <v>549243.69999999995</v>
      </c>
      <c r="M41">
        <v>3565500</v>
      </c>
      <c r="N41">
        <v>310924.37</v>
      </c>
      <c r="O41">
        <v>2579831.9300000002</v>
      </c>
      <c r="P41">
        <v>791891</v>
      </c>
      <c r="Q41">
        <v>1787940.93</v>
      </c>
      <c r="R41">
        <v>0</v>
      </c>
      <c r="S41">
        <v>39</v>
      </c>
      <c r="T41">
        <v>0</v>
      </c>
      <c r="U41">
        <v>0</v>
      </c>
      <c r="V41" s="9">
        <v>46189.853409826392</v>
      </c>
    </row>
    <row r="42" spans="1:22" x14ac:dyDescent="0.2">
      <c r="A42" s="8">
        <v>45849</v>
      </c>
      <c r="B42">
        <v>17</v>
      </c>
      <c r="C42">
        <v>2.1</v>
      </c>
      <c r="D42">
        <v>130993.573</v>
      </c>
      <c r="E42">
        <v>0</v>
      </c>
      <c r="F42">
        <v>2226890.75</v>
      </c>
      <c r="G42">
        <v>0</v>
      </c>
      <c r="H42">
        <v>0</v>
      </c>
      <c r="I42">
        <v>2226890.75</v>
      </c>
      <c r="J42">
        <v>27000</v>
      </c>
      <c r="K42">
        <v>0</v>
      </c>
      <c r="L42">
        <v>423109.25</v>
      </c>
      <c r="M42">
        <v>2677000</v>
      </c>
      <c r="N42">
        <v>0</v>
      </c>
      <c r="O42">
        <v>2226890.75</v>
      </c>
      <c r="P42">
        <v>714089</v>
      </c>
      <c r="Q42">
        <v>1512801.75</v>
      </c>
      <c r="R42">
        <v>0</v>
      </c>
      <c r="S42">
        <v>35</v>
      </c>
      <c r="T42">
        <v>0</v>
      </c>
      <c r="U42">
        <v>0</v>
      </c>
      <c r="V42" s="9">
        <v>46189.853409826392</v>
      </c>
    </row>
    <row r="43" spans="1:22" x14ac:dyDescent="0.2">
      <c r="A43" s="8">
        <v>45850</v>
      </c>
      <c r="B43">
        <v>23</v>
      </c>
      <c r="C43">
        <v>2.2999999999999998</v>
      </c>
      <c r="D43">
        <v>160796.53599999999</v>
      </c>
      <c r="E43">
        <v>0</v>
      </c>
      <c r="F43">
        <v>3698320.35</v>
      </c>
      <c r="G43">
        <v>0</v>
      </c>
      <c r="H43">
        <v>0</v>
      </c>
      <c r="I43">
        <v>3698320.35</v>
      </c>
      <c r="J43">
        <v>39500</v>
      </c>
      <c r="K43">
        <v>0</v>
      </c>
      <c r="L43">
        <v>702680.65</v>
      </c>
      <c r="M43">
        <v>4440501</v>
      </c>
      <c r="N43">
        <v>100841.33</v>
      </c>
      <c r="O43">
        <v>3597479.02</v>
      </c>
      <c r="P43">
        <v>1019863</v>
      </c>
      <c r="Q43">
        <v>2577616.02</v>
      </c>
      <c r="R43">
        <v>0</v>
      </c>
      <c r="S43">
        <v>53</v>
      </c>
      <c r="T43">
        <v>0</v>
      </c>
      <c r="U43">
        <v>0</v>
      </c>
      <c r="V43" s="9">
        <v>46189.853409826392</v>
      </c>
    </row>
    <row r="44" spans="1:22" x14ac:dyDescent="0.2">
      <c r="A44" s="8">
        <v>45851</v>
      </c>
      <c r="B44">
        <v>9</v>
      </c>
      <c r="C44">
        <v>2.8</v>
      </c>
      <c r="D44">
        <v>183006.535</v>
      </c>
      <c r="E44">
        <v>0</v>
      </c>
      <c r="F44">
        <v>1647058.82</v>
      </c>
      <c r="G44">
        <v>0</v>
      </c>
      <c r="H44">
        <v>0</v>
      </c>
      <c r="I44">
        <v>1647058.82</v>
      </c>
      <c r="J44">
        <v>18000</v>
      </c>
      <c r="K44">
        <v>0</v>
      </c>
      <c r="L44">
        <v>312941.18</v>
      </c>
      <c r="M44">
        <v>1978000</v>
      </c>
      <c r="N44">
        <v>0</v>
      </c>
      <c r="O44">
        <v>1647058.82</v>
      </c>
      <c r="P44">
        <v>441844</v>
      </c>
      <c r="Q44">
        <v>1205214.82</v>
      </c>
      <c r="R44">
        <v>0</v>
      </c>
      <c r="S44">
        <v>25</v>
      </c>
      <c r="T44">
        <v>0</v>
      </c>
      <c r="U44">
        <v>0</v>
      </c>
      <c r="V44" s="9">
        <v>46189.853409826392</v>
      </c>
    </row>
    <row r="45" spans="1:22" x14ac:dyDescent="0.2">
      <c r="A45" s="8">
        <v>45852</v>
      </c>
      <c r="B45">
        <v>14</v>
      </c>
      <c r="C45">
        <v>1.7</v>
      </c>
      <c r="D45">
        <v>100360.20299999999</v>
      </c>
      <c r="E45">
        <v>0</v>
      </c>
      <c r="F45">
        <v>1405042.85</v>
      </c>
      <c r="G45">
        <v>0</v>
      </c>
      <c r="H45">
        <v>0</v>
      </c>
      <c r="I45">
        <v>1405042.85</v>
      </c>
      <c r="J45">
        <v>14500</v>
      </c>
      <c r="K45">
        <v>0</v>
      </c>
      <c r="L45">
        <v>266958.15000000002</v>
      </c>
      <c r="M45">
        <v>1686501</v>
      </c>
      <c r="N45">
        <v>0.84</v>
      </c>
      <c r="O45">
        <v>1405042.01</v>
      </c>
      <c r="P45">
        <v>424633</v>
      </c>
      <c r="Q45">
        <v>980409.01</v>
      </c>
      <c r="R45">
        <v>0</v>
      </c>
      <c r="S45">
        <v>24</v>
      </c>
      <c r="T45">
        <v>0</v>
      </c>
      <c r="U45">
        <v>0</v>
      </c>
      <c r="V45" s="9">
        <v>46189.853409826392</v>
      </c>
    </row>
    <row r="46" spans="1:22" x14ac:dyDescent="0.2">
      <c r="A46" s="8">
        <v>45853</v>
      </c>
      <c r="B46">
        <v>19</v>
      </c>
      <c r="C46">
        <v>1.9</v>
      </c>
      <c r="D46">
        <v>130369.747</v>
      </c>
      <c r="E46">
        <v>0</v>
      </c>
      <c r="F46">
        <v>2561058.81</v>
      </c>
      <c r="G46">
        <v>-84033.600000000006</v>
      </c>
      <c r="H46">
        <v>0</v>
      </c>
      <c r="I46">
        <v>2477025.21</v>
      </c>
      <c r="J46">
        <v>122500</v>
      </c>
      <c r="K46">
        <v>0</v>
      </c>
      <c r="L46">
        <v>448974.79</v>
      </c>
      <c r="M46">
        <v>3048500</v>
      </c>
      <c r="N46">
        <v>0</v>
      </c>
      <c r="O46">
        <v>2477025.21</v>
      </c>
      <c r="P46">
        <v>815858</v>
      </c>
      <c r="Q46">
        <v>1661167.21</v>
      </c>
      <c r="R46">
        <v>0</v>
      </c>
      <c r="S46">
        <v>37</v>
      </c>
      <c r="T46">
        <v>0</v>
      </c>
      <c r="U46">
        <v>0</v>
      </c>
      <c r="V46" s="9">
        <v>46189.853409826392</v>
      </c>
    </row>
    <row r="47" spans="1:22" x14ac:dyDescent="0.2">
      <c r="A47" s="8">
        <v>45854</v>
      </c>
      <c r="B47">
        <v>16</v>
      </c>
      <c r="C47">
        <v>4.4000000000000004</v>
      </c>
      <c r="D47">
        <v>132090.33499999999</v>
      </c>
      <c r="E47">
        <v>0</v>
      </c>
      <c r="F47">
        <v>2113445.36</v>
      </c>
      <c r="G47">
        <v>0</v>
      </c>
      <c r="H47">
        <v>0</v>
      </c>
      <c r="I47">
        <v>2113445.36</v>
      </c>
      <c r="J47">
        <v>56000</v>
      </c>
      <c r="K47">
        <v>0</v>
      </c>
      <c r="L47">
        <v>401554.64</v>
      </c>
      <c r="M47">
        <v>2571000</v>
      </c>
      <c r="N47">
        <v>0</v>
      </c>
      <c r="O47">
        <v>2113445.36</v>
      </c>
      <c r="P47">
        <v>702371</v>
      </c>
      <c r="Q47">
        <v>1411074.36</v>
      </c>
      <c r="R47">
        <v>0</v>
      </c>
      <c r="S47">
        <v>71</v>
      </c>
      <c r="T47">
        <v>0</v>
      </c>
      <c r="U47">
        <v>0</v>
      </c>
      <c r="V47" s="9">
        <v>46189.853409826392</v>
      </c>
    </row>
    <row r="48" spans="1:22" x14ac:dyDescent="0.2">
      <c r="A48" s="8">
        <v>45855</v>
      </c>
      <c r="B48">
        <v>29</v>
      </c>
      <c r="C48">
        <v>2</v>
      </c>
      <c r="D48">
        <v>108852.53599999999</v>
      </c>
      <c r="E48">
        <v>-8</v>
      </c>
      <c r="F48">
        <v>3733194.13</v>
      </c>
      <c r="G48">
        <v>-26470.58</v>
      </c>
      <c r="H48">
        <v>-470588.24</v>
      </c>
      <c r="I48">
        <v>3236135.31</v>
      </c>
      <c r="J48">
        <v>97500</v>
      </c>
      <c r="K48">
        <v>0</v>
      </c>
      <c r="L48">
        <v>614865.68999999994</v>
      </c>
      <c r="M48">
        <v>3948501</v>
      </c>
      <c r="N48">
        <v>0.84</v>
      </c>
      <c r="O48">
        <v>3236134.47</v>
      </c>
      <c r="P48">
        <v>961608</v>
      </c>
      <c r="Q48">
        <v>2274526.4700000002</v>
      </c>
      <c r="R48">
        <v>0</v>
      </c>
      <c r="S48">
        <v>60</v>
      </c>
      <c r="T48">
        <v>0</v>
      </c>
      <c r="U48">
        <v>0</v>
      </c>
      <c r="V48" s="9">
        <v>46189.853409826392</v>
      </c>
    </row>
    <row r="49" spans="1:22" x14ac:dyDescent="0.2">
      <c r="A49" s="8">
        <v>45856</v>
      </c>
      <c r="B49">
        <v>18</v>
      </c>
      <c r="C49">
        <v>2.4</v>
      </c>
      <c r="D49">
        <v>152544.35200000001</v>
      </c>
      <c r="E49">
        <v>-4</v>
      </c>
      <c r="F49">
        <v>2938655.48</v>
      </c>
      <c r="G49">
        <v>0</v>
      </c>
      <c r="H49">
        <v>-240226.89</v>
      </c>
      <c r="I49">
        <v>2698428.59</v>
      </c>
      <c r="J49">
        <v>39000</v>
      </c>
      <c r="K49">
        <v>0</v>
      </c>
      <c r="L49">
        <v>488571.41</v>
      </c>
      <c r="M49">
        <v>3226000</v>
      </c>
      <c r="N49">
        <v>-1</v>
      </c>
      <c r="O49">
        <v>2698428.59</v>
      </c>
      <c r="P49">
        <v>879237</v>
      </c>
      <c r="Q49">
        <v>1819191.59</v>
      </c>
      <c r="R49">
        <v>0</v>
      </c>
      <c r="S49">
        <v>42</v>
      </c>
      <c r="T49">
        <v>0</v>
      </c>
      <c r="U49">
        <v>0</v>
      </c>
      <c r="V49" s="9">
        <v>46189.853409826392</v>
      </c>
    </row>
    <row r="50" spans="1:22" x14ac:dyDescent="0.2">
      <c r="A50" s="8">
        <v>45857</v>
      </c>
      <c r="B50">
        <v>15</v>
      </c>
      <c r="C50">
        <v>2</v>
      </c>
      <c r="D50">
        <v>128099.16099999999</v>
      </c>
      <c r="E50">
        <v>0</v>
      </c>
      <c r="F50">
        <v>1921487.42</v>
      </c>
      <c r="G50">
        <v>0</v>
      </c>
      <c r="H50">
        <v>0</v>
      </c>
      <c r="I50">
        <v>1921487.42</v>
      </c>
      <c r="J50">
        <v>52500</v>
      </c>
      <c r="K50">
        <v>0</v>
      </c>
      <c r="L50">
        <v>326512.58</v>
      </c>
      <c r="M50">
        <v>2300500</v>
      </c>
      <c r="N50">
        <v>0</v>
      </c>
      <c r="O50">
        <v>1921487.42</v>
      </c>
      <c r="P50">
        <v>699642</v>
      </c>
      <c r="Q50">
        <v>1221845.42</v>
      </c>
      <c r="R50">
        <v>0</v>
      </c>
      <c r="S50">
        <v>30</v>
      </c>
      <c r="T50">
        <v>0</v>
      </c>
      <c r="U50">
        <v>0</v>
      </c>
      <c r="V50" s="9">
        <v>46189.853409826392</v>
      </c>
    </row>
    <row r="51" spans="1:22" x14ac:dyDescent="0.2">
      <c r="A51" s="8">
        <v>45858</v>
      </c>
      <c r="B51">
        <v>23</v>
      </c>
      <c r="C51">
        <v>1.7</v>
      </c>
      <c r="D51">
        <v>126970.04</v>
      </c>
      <c r="E51">
        <v>-1</v>
      </c>
      <c r="F51">
        <v>2920310.94</v>
      </c>
      <c r="G51">
        <v>0</v>
      </c>
      <c r="H51">
        <v>-74000</v>
      </c>
      <c r="I51">
        <v>2846310.94</v>
      </c>
      <c r="J51">
        <v>65000</v>
      </c>
      <c r="K51">
        <v>0</v>
      </c>
      <c r="L51">
        <v>508689.06</v>
      </c>
      <c r="M51">
        <v>3420000</v>
      </c>
      <c r="N51">
        <v>0</v>
      </c>
      <c r="O51">
        <v>2846310.94</v>
      </c>
      <c r="P51">
        <v>951038</v>
      </c>
      <c r="Q51">
        <v>1895272.94</v>
      </c>
      <c r="R51">
        <v>0</v>
      </c>
      <c r="S51">
        <v>39</v>
      </c>
      <c r="T51">
        <v>0</v>
      </c>
      <c r="U51">
        <v>0</v>
      </c>
      <c r="V51" s="9">
        <v>46189.853409826392</v>
      </c>
    </row>
    <row r="52" spans="1:22" x14ac:dyDescent="0.2">
      <c r="A52" s="8">
        <v>45859</v>
      </c>
      <c r="B52">
        <v>24</v>
      </c>
      <c r="C52">
        <v>1.8</v>
      </c>
      <c r="D52">
        <v>138156.54699999999</v>
      </c>
      <c r="E52">
        <v>0</v>
      </c>
      <c r="F52">
        <v>3373740.34</v>
      </c>
      <c r="G52">
        <v>-25210.080000000002</v>
      </c>
      <c r="H52">
        <v>0</v>
      </c>
      <c r="I52">
        <v>3348530.26</v>
      </c>
      <c r="J52">
        <v>181000</v>
      </c>
      <c r="K52">
        <v>0</v>
      </c>
      <c r="L52">
        <v>636220.74</v>
      </c>
      <c r="M52">
        <v>4165751</v>
      </c>
      <c r="N52">
        <v>0</v>
      </c>
      <c r="O52">
        <v>3348530.26</v>
      </c>
      <c r="P52">
        <v>955130</v>
      </c>
      <c r="Q52">
        <v>2393400.2599999998</v>
      </c>
      <c r="R52">
        <v>0</v>
      </c>
      <c r="S52">
        <v>44</v>
      </c>
      <c r="T52">
        <v>0</v>
      </c>
      <c r="U52">
        <v>0</v>
      </c>
      <c r="V52" s="9">
        <v>46189.853409826392</v>
      </c>
    </row>
    <row r="53" spans="1:22" x14ac:dyDescent="0.2">
      <c r="A53" s="8">
        <v>45860</v>
      </c>
      <c r="B53">
        <v>20</v>
      </c>
      <c r="C53">
        <v>2</v>
      </c>
      <c r="D53">
        <v>132668.234</v>
      </c>
      <c r="E53">
        <v>0</v>
      </c>
      <c r="F53">
        <v>2653364.69</v>
      </c>
      <c r="G53">
        <v>0</v>
      </c>
      <c r="H53">
        <v>0</v>
      </c>
      <c r="I53">
        <v>2653364.69</v>
      </c>
      <c r="J53">
        <v>132000</v>
      </c>
      <c r="K53">
        <v>0</v>
      </c>
      <c r="L53">
        <v>504139.31</v>
      </c>
      <c r="M53">
        <v>3289504</v>
      </c>
      <c r="N53">
        <v>192860.5</v>
      </c>
      <c r="O53">
        <v>2460504.19</v>
      </c>
      <c r="P53">
        <v>756890</v>
      </c>
      <c r="Q53">
        <v>1703614.19</v>
      </c>
      <c r="R53">
        <v>0</v>
      </c>
      <c r="S53">
        <v>41</v>
      </c>
      <c r="T53">
        <v>0</v>
      </c>
      <c r="U53">
        <v>0</v>
      </c>
      <c r="V53" s="9">
        <v>46189.853409826392</v>
      </c>
    </row>
    <row r="54" spans="1:22" x14ac:dyDescent="0.2">
      <c r="A54" s="8">
        <v>45861</v>
      </c>
      <c r="B54">
        <v>32</v>
      </c>
      <c r="C54">
        <v>2.2999999999999998</v>
      </c>
      <c r="D54">
        <v>138288.34</v>
      </c>
      <c r="E54">
        <v>0</v>
      </c>
      <c r="F54">
        <v>4477537.8099999996</v>
      </c>
      <c r="G54">
        <v>-52310.91</v>
      </c>
      <c r="H54">
        <v>0</v>
      </c>
      <c r="I54">
        <v>4425226.9000000004</v>
      </c>
      <c r="J54">
        <v>142000</v>
      </c>
      <c r="K54">
        <v>0</v>
      </c>
      <c r="L54">
        <v>815523.1</v>
      </c>
      <c r="M54">
        <v>5382750</v>
      </c>
      <c r="N54">
        <v>0</v>
      </c>
      <c r="O54">
        <v>4425226.9000000004</v>
      </c>
      <c r="P54">
        <v>1509568</v>
      </c>
      <c r="Q54">
        <v>2915658.9</v>
      </c>
      <c r="R54">
        <v>0</v>
      </c>
      <c r="S54">
        <v>74</v>
      </c>
      <c r="T54">
        <v>0</v>
      </c>
      <c r="U54">
        <v>0</v>
      </c>
      <c r="V54" s="9">
        <v>46189.853409826392</v>
      </c>
    </row>
    <row r="55" spans="1:22" x14ac:dyDescent="0.2">
      <c r="A55" s="8">
        <v>45862</v>
      </c>
      <c r="B55">
        <v>28</v>
      </c>
      <c r="C55">
        <v>2.2000000000000002</v>
      </c>
      <c r="D55">
        <v>152092.80300000001</v>
      </c>
      <c r="E55">
        <v>-1</v>
      </c>
      <c r="F55">
        <v>4350195.12</v>
      </c>
      <c r="G55">
        <v>-41596.629999999997</v>
      </c>
      <c r="H55">
        <v>-50000</v>
      </c>
      <c r="I55">
        <v>4258598.49</v>
      </c>
      <c r="J55">
        <v>150000</v>
      </c>
      <c r="K55">
        <v>0</v>
      </c>
      <c r="L55">
        <v>758403.51</v>
      </c>
      <c r="M55">
        <v>5167002</v>
      </c>
      <c r="N55">
        <v>1.84</v>
      </c>
      <c r="O55">
        <v>4258596.6500000004</v>
      </c>
      <c r="P55">
        <v>1591709</v>
      </c>
      <c r="Q55">
        <v>2666887.65</v>
      </c>
      <c r="R55">
        <v>0</v>
      </c>
      <c r="S55">
        <v>61</v>
      </c>
      <c r="T55">
        <v>0</v>
      </c>
      <c r="U55">
        <v>0</v>
      </c>
      <c r="V55" s="9">
        <v>46189.853409826392</v>
      </c>
    </row>
    <row r="56" spans="1:22" x14ac:dyDescent="0.2">
      <c r="A56" s="8">
        <v>45863</v>
      </c>
      <c r="B56">
        <v>17</v>
      </c>
      <c r="C56">
        <v>2.2000000000000002</v>
      </c>
      <c r="D56">
        <v>145371.231</v>
      </c>
      <c r="E56">
        <v>-1</v>
      </c>
      <c r="F56">
        <v>2549462.1800000002</v>
      </c>
      <c r="G56">
        <v>-2521</v>
      </c>
      <c r="H56">
        <v>-26050.42</v>
      </c>
      <c r="I56">
        <v>2520890.7599999998</v>
      </c>
      <c r="J56">
        <v>115500</v>
      </c>
      <c r="K56">
        <v>0</v>
      </c>
      <c r="L56">
        <v>456359.24</v>
      </c>
      <c r="M56">
        <v>3092750</v>
      </c>
      <c r="N56">
        <v>0</v>
      </c>
      <c r="O56">
        <v>2520890.7599999998</v>
      </c>
      <c r="P56">
        <v>860762</v>
      </c>
      <c r="Q56">
        <v>1660128.76</v>
      </c>
      <c r="R56">
        <v>0</v>
      </c>
      <c r="S56">
        <v>38</v>
      </c>
      <c r="T56">
        <v>0</v>
      </c>
      <c r="U56">
        <v>0</v>
      </c>
      <c r="V56" s="9">
        <v>46189.853409826392</v>
      </c>
    </row>
    <row r="57" spans="1:22" x14ac:dyDescent="0.2">
      <c r="A57" s="8">
        <v>45864</v>
      </c>
      <c r="B57">
        <v>14</v>
      </c>
      <c r="C57">
        <v>2.1</v>
      </c>
      <c r="D57">
        <v>119087.63499999999</v>
      </c>
      <c r="E57">
        <v>0</v>
      </c>
      <c r="F57">
        <v>1667226.9</v>
      </c>
      <c r="G57">
        <v>0</v>
      </c>
      <c r="H57">
        <v>0</v>
      </c>
      <c r="I57">
        <v>1667226.9</v>
      </c>
      <c r="J57">
        <v>36000</v>
      </c>
      <c r="K57">
        <v>0</v>
      </c>
      <c r="L57">
        <v>297773.09999999998</v>
      </c>
      <c r="M57">
        <v>2001000</v>
      </c>
      <c r="N57">
        <v>100000</v>
      </c>
      <c r="O57">
        <v>1567226.9</v>
      </c>
      <c r="P57">
        <v>437777</v>
      </c>
      <c r="Q57">
        <v>1129449.8999999999</v>
      </c>
      <c r="R57">
        <v>0</v>
      </c>
      <c r="S57">
        <v>29</v>
      </c>
      <c r="T57">
        <v>0</v>
      </c>
      <c r="U57">
        <v>0</v>
      </c>
      <c r="V57" s="9">
        <v>46189.853409826392</v>
      </c>
    </row>
    <row r="58" spans="1:22" x14ac:dyDescent="0.2">
      <c r="A58" s="8">
        <v>45865</v>
      </c>
      <c r="B58">
        <v>32</v>
      </c>
      <c r="C58">
        <v>2.4</v>
      </c>
      <c r="D58">
        <v>130976.102</v>
      </c>
      <c r="E58">
        <v>0</v>
      </c>
      <c r="F58">
        <v>4191235.29</v>
      </c>
      <c r="G58">
        <v>0</v>
      </c>
      <c r="H58">
        <v>0</v>
      </c>
      <c r="I58">
        <v>4191235.29</v>
      </c>
      <c r="J58">
        <v>36000</v>
      </c>
      <c r="K58">
        <v>0</v>
      </c>
      <c r="L58">
        <v>734014.71</v>
      </c>
      <c r="M58">
        <v>4961250</v>
      </c>
      <c r="N58">
        <v>356100.84</v>
      </c>
      <c r="O58">
        <v>3835134.45</v>
      </c>
      <c r="P58">
        <v>1443980</v>
      </c>
      <c r="Q58">
        <v>2391154.4500000002</v>
      </c>
      <c r="R58">
        <v>0</v>
      </c>
      <c r="S58">
        <v>77</v>
      </c>
      <c r="T58">
        <v>0</v>
      </c>
      <c r="U58">
        <v>0</v>
      </c>
      <c r="V58" s="9">
        <v>46189.853409826392</v>
      </c>
    </row>
    <row r="59" spans="1:22" x14ac:dyDescent="0.2">
      <c r="A59" s="8">
        <v>45866</v>
      </c>
      <c r="B59">
        <v>24</v>
      </c>
      <c r="C59">
        <v>3.3</v>
      </c>
      <c r="D59">
        <v>273365.19500000001</v>
      </c>
      <c r="E59">
        <v>-2</v>
      </c>
      <c r="F59">
        <v>7068327.7000000002</v>
      </c>
      <c r="G59">
        <v>-415126.03</v>
      </c>
      <c r="H59">
        <v>-75630.25</v>
      </c>
      <c r="I59">
        <v>6577571.4199999999</v>
      </c>
      <c r="J59">
        <v>130500</v>
      </c>
      <c r="K59">
        <v>0</v>
      </c>
      <c r="L59">
        <v>1240428.58</v>
      </c>
      <c r="M59">
        <v>7948500</v>
      </c>
      <c r="N59">
        <v>0</v>
      </c>
      <c r="O59">
        <v>6577571.4199999999</v>
      </c>
      <c r="P59">
        <v>2005440</v>
      </c>
      <c r="Q59">
        <v>4572131.42</v>
      </c>
      <c r="R59">
        <v>0</v>
      </c>
      <c r="S59">
        <v>79</v>
      </c>
      <c r="T59">
        <v>0</v>
      </c>
      <c r="U59">
        <v>0</v>
      </c>
      <c r="V59" s="9">
        <v>46189.853409826392</v>
      </c>
    </row>
    <row r="60" spans="1:22" x14ac:dyDescent="0.2">
      <c r="A60" s="8">
        <v>45867</v>
      </c>
      <c r="B60">
        <v>13</v>
      </c>
      <c r="C60">
        <v>2.2000000000000002</v>
      </c>
      <c r="D60">
        <v>140084.67800000001</v>
      </c>
      <c r="E60">
        <v>0</v>
      </c>
      <c r="F60">
        <v>1838747.86</v>
      </c>
      <c r="G60">
        <v>-17647.04</v>
      </c>
      <c r="H60">
        <v>0</v>
      </c>
      <c r="I60">
        <v>1821100.82</v>
      </c>
      <c r="J60">
        <v>38000</v>
      </c>
      <c r="K60">
        <v>0</v>
      </c>
      <c r="L60">
        <v>332899.18</v>
      </c>
      <c r="M60">
        <v>2192000</v>
      </c>
      <c r="N60">
        <v>0</v>
      </c>
      <c r="O60">
        <v>1821100.82</v>
      </c>
      <c r="P60">
        <v>567626</v>
      </c>
      <c r="Q60">
        <v>1253474.82</v>
      </c>
      <c r="R60">
        <v>0</v>
      </c>
      <c r="S60">
        <v>29</v>
      </c>
      <c r="T60">
        <v>0</v>
      </c>
      <c r="U60">
        <v>0</v>
      </c>
      <c r="V60" s="9">
        <v>46189.853409826392</v>
      </c>
    </row>
    <row r="61" spans="1:22" x14ac:dyDescent="0.2">
      <c r="A61" s="8">
        <v>45868</v>
      </c>
      <c r="B61">
        <v>23</v>
      </c>
      <c r="C61">
        <v>4.3</v>
      </c>
      <c r="D61">
        <v>113226.526</v>
      </c>
      <c r="E61">
        <v>-1</v>
      </c>
      <c r="F61">
        <v>2736941.2</v>
      </c>
      <c r="G61">
        <v>-57100.84</v>
      </c>
      <c r="H61">
        <v>-75630.25</v>
      </c>
      <c r="I61">
        <v>2604210.11</v>
      </c>
      <c r="J61">
        <v>68500</v>
      </c>
      <c r="K61">
        <v>0</v>
      </c>
      <c r="L61">
        <v>459079.89</v>
      </c>
      <c r="M61">
        <v>3131790</v>
      </c>
      <c r="N61">
        <v>0</v>
      </c>
      <c r="O61">
        <v>2604210.11</v>
      </c>
      <c r="P61">
        <v>851254</v>
      </c>
      <c r="Q61">
        <v>1752956.11</v>
      </c>
      <c r="R61">
        <v>0</v>
      </c>
      <c r="S61">
        <v>98</v>
      </c>
      <c r="T61">
        <v>0</v>
      </c>
      <c r="U61">
        <v>0</v>
      </c>
      <c r="V61" s="9">
        <v>46189.853409826392</v>
      </c>
    </row>
    <row r="62" spans="1:22" x14ac:dyDescent="0.2">
      <c r="A62" s="8">
        <v>45869</v>
      </c>
      <c r="B62">
        <v>24</v>
      </c>
      <c r="C62">
        <v>2.9</v>
      </c>
      <c r="D62">
        <v>194170.20199999999</v>
      </c>
      <c r="E62">
        <v>-3</v>
      </c>
      <c r="F62">
        <v>5097899.9800000004</v>
      </c>
      <c r="G62">
        <v>-34663.839999999997</v>
      </c>
      <c r="H62">
        <v>-359663.86</v>
      </c>
      <c r="I62">
        <v>4703572.28</v>
      </c>
      <c r="J62">
        <v>5500</v>
      </c>
      <c r="K62">
        <v>0</v>
      </c>
      <c r="L62">
        <v>817678.72</v>
      </c>
      <c r="M62">
        <v>5526751</v>
      </c>
      <c r="N62">
        <v>55000</v>
      </c>
      <c r="O62">
        <v>4648572.28</v>
      </c>
      <c r="P62">
        <v>1325451.56</v>
      </c>
      <c r="Q62">
        <v>3323120.72</v>
      </c>
      <c r="R62">
        <v>0</v>
      </c>
      <c r="S62">
        <v>70</v>
      </c>
      <c r="T62">
        <v>0</v>
      </c>
      <c r="U62">
        <v>0</v>
      </c>
      <c r="V62" s="9">
        <v>46189.853409826392</v>
      </c>
    </row>
    <row r="63" spans="1:22" x14ac:dyDescent="0.2">
      <c r="A63" s="8">
        <v>45870</v>
      </c>
      <c r="B63">
        <v>16</v>
      </c>
      <c r="C63">
        <v>1.8</v>
      </c>
      <c r="D63">
        <v>94486.346000000005</v>
      </c>
      <c r="E63">
        <v>-1</v>
      </c>
      <c r="F63">
        <v>1569428.57</v>
      </c>
      <c r="G63">
        <v>-57647.03</v>
      </c>
      <c r="H63">
        <v>223.53</v>
      </c>
      <c r="I63">
        <v>1512005.07</v>
      </c>
      <c r="J63">
        <v>56000</v>
      </c>
      <c r="K63">
        <v>0</v>
      </c>
      <c r="L63">
        <v>268394.93</v>
      </c>
      <c r="M63">
        <v>1836400</v>
      </c>
      <c r="N63">
        <v>0</v>
      </c>
      <c r="O63">
        <v>1510605.07</v>
      </c>
      <c r="P63">
        <v>540015</v>
      </c>
      <c r="Q63">
        <v>970590.07</v>
      </c>
      <c r="R63">
        <v>0</v>
      </c>
      <c r="S63">
        <v>27</v>
      </c>
      <c r="T63">
        <v>0</v>
      </c>
      <c r="U63">
        <v>0</v>
      </c>
      <c r="V63" s="9">
        <v>46189.853409826392</v>
      </c>
    </row>
    <row r="64" spans="1:22" x14ac:dyDescent="0.2">
      <c r="A64" s="8">
        <v>45871</v>
      </c>
      <c r="B64">
        <v>24</v>
      </c>
      <c r="C64">
        <v>2</v>
      </c>
      <c r="D64">
        <v>108543.41899999999</v>
      </c>
      <c r="E64">
        <v>-2</v>
      </c>
      <c r="F64">
        <v>2663865.59</v>
      </c>
      <c r="G64">
        <v>0</v>
      </c>
      <c r="H64">
        <v>-105042.02</v>
      </c>
      <c r="I64">
        <v>2558823.5699999998</v>
      </c>
      <c r="J64">
        <v>41500</v>
      </c>
      <c r="K64">
        <v>0</v>
      </c>
      <c r="L64">
        <v>486176.43</v>
      </c>
      <c r="M64">
        <v>3086500</v>
      </c>
      <c r="N64">
        <v>0</v>
      </c>
      <c r="O64">
        <v>2558823.5699999998</v>
      </c>
      <c r="P64">
        <v>711704</v>
      </c>
      <c r="Q64">
        <v>1847119.57</v>
      </c>
      <c r="R64">
        <v>0</v>
      </c>
      <c r="S64">
        <v>48</v>
      </c>
      <c r="T64">
        <v>0</v>
      </c>
      <c r="U64">
        <v>0</v>
      </c>
      <c r="V64" s="9">
        <v>46189.853409826392</v>
      </c>
    </row>
    <row r="65" spans="1:22" x14ac:dyDescent="0.2">
      <c r="A65" s="8">
        <v>45872</v>
      </c>
      <c r="B65">
        <v>7</v>
      </c>
      <c r="C65">
        <v>2</v>
      </c>
      <c r="D65">
        <v>116418.96799999999</v>
      </c>
      <c r="E65">
        <v>0</v>
      </c>
      <c r="F65">
        <v>814932.78</v>
      </c>
      <c r="G65">
        <v>0</v>
      </c>
      <c r="H65">
        <v>0</v>
      </c>
      <c r="I65">
        <v>814932.78</v>
      </c>
      <c r="J65">
        <v>9000</v>
      </c>
      <c r="K65">
        <v>0</v>
      </c>
      <c r="L65">
        <v>120067.22</v>
      </c>
      <c r="M65">
        <v>944000</v>
      </c>
      <c r="N65">
        <v>0</v>
      </c>
      <c r="O65">
        <v>814932.78</v>
      </c>
      <c r="P65">
        <v>315274</v>
      </c>
      <c r="Q65">
        <v>499658.78</v>
      </c>
      <c r="R65">
        <v>0</v>
      </c>
      <c r="S65">
        <v>14</v>
      </c>
      <c r="T65">
        <v>0</v>
      </c>
      <c r="U65">
        <v>0</v>
      </c>
      <c r="V65" s="9">
        <v>46189.853409826392</v>
      </c>
    </row>
    <row r="66" spans="1:22" x14ac:dyDescent="0.2">
      <c r="A66" s="8">
        <v>45873</v>
      </c>
      <c r="B66">
        <v>11</v>
      </c>
      <c r="C66">
        <v>1.9</v>
      </c>
      <c r="D66">
        <v>133766.23300000001</v>
      </c>
      <c r="E66">
        <v>-1</v>
      </c>
      <c r="F66">
        <v>1505042.01</v>
      </c>
      <c r="G66">
        <v>-8403.36</v>
      </c>
      <c r="H66">
        <v>-21848.74</v>
      </c>
      <c r="I66">
        <v>1474789.91</v>
      </c>
      <c r="J66">
        <v>50500</v>
      </c>
      <c r="K66">
        <v>0</v>
      </c>
      <c r="L66">
        <v>280210.09000000003</v>
      </c>
      <c r="M66">
        <v>1805500</v>
      </c>
      <c r="N66">
        <v>0</v>
      </c>
      <c r="O66">
        <v>1474789.91</v>
      </c>
      <c r="P66">
        <v>459542</v>
      </c>
      <c r="Q66">
        <v>1015247.91</v>
      </c>
      <c r="R66">
        <v>0</v>
      </c>
      <c r="S66">
        <v>21</v>
      </c>
      <c r="T66">
        <v>0</v>
      </c>
      <c r="U66">
        <v>0</v>
      </c>
      <c r="V66" s="9">
        <v>46189.853409826392</v>
      </c>
    </row>
    <row r="67" spans="1:22" x14ac:dyDescent="0.2">
      <c r="A67" s="8">
        <v>45874</v>
      </c>
      <c r="B67">
        <v>23</v>
      </c>
      <c r="C67">
        <v>2.9</v>
      </c>
      <c r="D67">
        <v>170272.56200000001</v>
      </c>
      <c r="E67">
        <v>0</v>
      </c>
      <c r="F67">
        <v>3979294.15</v>
      </c>
      <c r="G67">
        <v>-63025.21</v>
      </c>
      <c r="H67">
        <v>0</v>
      </c>
      <c r="I67">
        <v>3916268.94</v>
      </c>
      <c r="J67">
        <v>61500</v>
      </c>
      <c r="K67">
        <v>0</v>
      </c>
      <c r="L67">
        <v>716731.06</v>
      </c>
      <c r="M67">
        <v>4694500</v>
      </c>
      <c r="N67">
        <v>0</v>
      </c>
      <c r="O67">
        <v>3916268.94</v>
      </c>
      <c r="P67">
        <v>1210871</v>
      </c>
      <c r="Q67">
        <v>2705397.94</v>
      </c>
      <c r="R67">
        <v>0</v>
      </c>
      <c r="S67">
        <v>66</v>
      </c>
      <c r="T67">
        <v>0</v>
      </c>
      <c r="U67">
        <v>0</v>
      </c>
      <c r="V67" s="9">
        <v>46189.853409826392</v>
      </c>
    </row>
    <row r="68" spans="1:22" x14ac:dyDescent="0.2">
      <c r="A68" s="8">
        <v>45875</v>
      </c>
      <c r="B68">
        <v>22</v>
      </c>
      <c r="C68">
        <v>1.9</v>
      </c>
      <c r="D68">
        <v>161178.38</v>
      </c>
      <c r="E68">
        <v>-82</v>
      </c>
      <c r="F68">
        <v>6198025.21</v>
      </c>
      <c r="G68">
        <v>-74789.91</v>
      </c>
      <c r="H68">
        <v>-2571176.48</v>
      </c>
      <c r="I68">
        <v>3552058.82</v>
      </c>
      <c r="J68">
        <v>68000</v>
      </c>
      <c r="K68">
        <v>0</v>
      </c>
      <c r="L68">
        <v>649241.18000000005</v>
      </c>
      <c r="M68">
        <v>4269300</v>
      </c>
      <c r="N68">
        <v>67226.89</v>
      </c>
      <c r="O68">
        <v>3484831.93</v>
      </c>
      <c r="P68">
        <v>897392</v>
      </c>
      <c r="Q68">
        <v>2587439.9300000002</v>
      </c>
      <c r="R68">
        <v>0</v>
      </c>
      <c r="S68">
        <v>-6</v>
      </c>
      <c r="T68">
        <v>0</v>
      </c>
      <c r="U68">
        <v>0</v>
      </c>
      <c r="V68" s="9">
        <v>46189.853409826392</v>
      </c>
    </row>
    <row r="69" spans="1:22" x14ac:dyDescent="0.2">
      <c r="A69" s="8">
        <v>45876</v>
      </c>
      <c r="B69">
        <v>8</v>
      </c>
      <c r="C69">
        <v>1.9</v>
      </c>
      <c r="D69">
        <v>63077.731</v>
      </c>
      <c r="E69">
        <v>-2</v>
      </c>
      <c r="F69">
        <v>618067.23</v>
      </c>
      <c r="G69">
        <v>0</v>
      </c>
      <c r="H69">
        <v>-323529.40999999997</v>
      </c>
      <c r="I69">
        <v>294537.82</v>
      </c>
      <c r="J69">
        <v>41500</v>
      </c>
      <c r="K69">
        <v>0</v>
      </c>
      <c r="L69">
        <v>55962.18</v>
      </c>
      <c r="M69">
        <v>392000</v>
      </c>
      <c r="N69">
        <v>4621.8500000000004</v>
      </c>
      <c r="O69">
        <v>289915.96999999997</v>
      </c>
      <c r="P69">
        <v>79523</v>
      </c>
      <c r="Q69">
        <v>210392.97</v>
      </c>
      <c r="R69">
        <v>0</v>
      </c>
      <c r="S69">
        <v>15</v>
      </c>
      <c r="T69">
        <v>0</v>
      </c>
      <c r="U69">
        <v>0</v>
      </c>
      <c r="V69" s="9">
        <v>46189.853409826392</v>
      </c>
    </row>
    <row r="70" spans="1:22" x14ac:dyDescent="0.2">
      <c r="A70" s="8">
        <v>45877</v>
      </c>
      <c r="B70">
        <v>16</v>
      </c>
      <c r="C70">
        <v>2.6</v>
      </c>
      <c r="D70">
        <v>170412.29</v>
      </c>
      <c r="E70">
        <v>0</v>
      </c>
      <c r="F70">
        <v>2726596.65</v>
      </c>
      <c r="G70">
        <v>0</v>
      </c>
      <c r="H70">
        <v>0</v>
      </c>
      <c r="I70">
        <v>2726596.65</v>
      </c>
      <c r="J70">
        <v>41500</v>
      </c>
      <c r="K70">
        <v>0</v>
      </c>
      <c r="L70">
        <v>511403.35</v>
      </c>
      <c r="M70">
        <v>3279500</v>
      </c>
      <c r="N70">
        <v>0</v>
      </c>
      <c r="O70">
        <v>2726596.65</v>
      </c>
      <c r="P70">
        <v>900195</v>
      </c>
      <c r="Q70">
        <v>1826401.65</v>
      </c>
      <c r="R70">
        <v>155000</v>
      </c>
      <c r="S70">
        <v>42</v>
      </c>
      <c r="T70">
        <v>0</v>
      </c>
      <c r="U70">
        <v>155000</v>
      </c>
      <c r="V70" s="9">
        <v>46189.853409826392</v>
      </c>
    </row>
    <row r="71" spans="1:22" x14ac:dyDescent="0.2">
      <c r="A71" s="8">
        <v>45878</v>
      </c>
      <c r="B71">
        <v>11</v>
      </c>
      <c r="C71">
        <v>2.5</v>
      </c>
      <c r="D71">
        <v>129984.799</v>
      </c>
      <c r="E71">
        <v>-1</v>
      </c>
      <c r="F71">
        <v>1429832.79</v>
      </c>
      <c r="G71">
        <v>0</v>
      </c>
      <c r="H71">
        <v>0</v>
      </c>
      <c r="I71">
        <v>1429832.79</v>
      </c>
      <c r="J71">
        <v>32500</v>
      </c>
      <c r="K71">
        <v>0</v>
      </c>
      <c r="L71">
        <v>271668.21000000002</v>
      </c>
      <c r="M71">
        <v>1734001</v>
      </c>
      <c r="N71">
        <v>0</v>
      </c>
      <c r="O71">
        <v>1429832.79</v>
      </c>
      <c r="P71">
        <v>429080</v>
      </c>
      <c r="Q71">
        <v>1000752.79</v>
      </c>
      <c r="R71">
        <v>45000</v>
      </c>
      <c r="S71">
        <v>28</v>
      </c>
      <c r="T71">
        <v>0</v>
      </c>
      <c r="U71">
        <v>45000</v>
      </c>
      <c r="V71" s="9">
        <v>46189.853409826392</v>
      </c>
    </row>
    <row r="72" spans="1:22" x14ac:dyDescent="0.2">
      <c r="A72" s="8">
        <v>45879</v>
      </c>
      <c r="B72">
        <v>11</v>
      </c>
      <c r="C72">
        <v>1.5</v>
      </c>
      <c r="D72">
        <v>87929.718999999997</v>
      </c>
      <c r="E72">
        <v>0</v>
      </c>
      <c r="F72">
        <v>1037226.91</v>
      </c>
      <c r="G72">
        <v>-70000</v>
      </c>
      <c r="H72">
        <v>0</v>
      </c>
      <c r="I72">
        <v>967226.91</v>
      </c>
      <c r="J72">
        <v>23500</v>
      </c>
      <c r="K72">
        <v>0</v>
      </c>
      <c r="L72">
        <v>183773.09</v>
      </c>
      <c r="M72">
        <v>1174500</v>
      </c>
      <c r="N72">
        <v>0</v>
      </c>
      <c r="O72">
        <v>967226.91</v>
      </c>
      <c r="P72">
        <v>251400</v>
      </c>
      <c r="Q72">
        <v>715826.91</v>
      </c>
      <c r="R72">
        <v>0</v>
      </c>
      <c r="S72">
        <v>16</v>
      </c>
      <c r="T72">
        <v>0</v>
      </c>
      <c r="U72">
        <v>0</v>
      </c>
      <c r="V72" s="9">
        <v>46189.853409826392</v>
      </c>
    </row>
    <row r="73" spans="1:22" x14ac:dyDescent="0.2">
      <c r="A73" s="8">
        <v>45880</v>
      </c>
      <c r="B73">
        <v>21</v>
      </c>
      <c r="C73">
        <v>2.1</v>
      </c>
      <c r="D73">
        <v>103543.09699999999</v>
      </c>
      <c r="E73">
        <v>0</v>
      </c>
      <c r="F73">
        <v>2199615.13</v>
      </c>
      <c r="G73">
        <v>-25210.080000000002</v>
      </c>
      <c r="H73">
        <v>0</v>
      </c>
      <c r="I73">
        <v>2174405.0499999998</v>
      </c>
      <c r="J73">
        <v>97000</v>
      </c>
      <c r="K73">
        <v>0</v>
      </c>
      <c r="L73">
        <v>391096.95</v>
      </c>
      <c r="M73">
        <v>2662502</v>
      </c>
      <c r="N73">
        <v>32774.79</v>
      </c>
      <c r="O73">
        <v>2141630.2599999998</v>
      </c>
      <c r="P73">
        <v>673089</v>
      </c>
      <c r="Q73">
        <v>1468541.26</v>
      </c>
      <c r="R73">
        <v>0</v>
      </c>
      <c r="S73">
        <v>44</v>
      </c>
      <c r="T73">
        <v>0</v>
      </c>
      <c r="U73">
        <v>0</v>
      </c>
      <c r="V73" s="9">
        <v>46189.853409826392</v>
      </c>
    </row>
    <row r="74" spans="1:22" x14ac:dyDescent="0.2">
      <c r="A74" s="8">
        <v>45881</v>
      </c>
      <c r="B74">
        <v>21</v>
      </c>
      <c r="C74">
        <v>3.2</v>
      </c>
      <c r="D74">
        <v>155622.29</v>
      </c>
      <c r="E74">
        <v>0</v>
      </c>
      <c r="F74">
        <v>3726858.02</v>
      </c>
      <c r="G74">
        <v>-458789.93</v>
      </c>
      <c r="H74">
        <v>0</v>
      </c>
      <c r="I74">
        <v>3268068.09</v>
      </c>
      <c r="J74">
        <v>50500</v>
      </c>
      <c r="K74">
        <v>0</v>
      </c>
      <c r="L74">
        <v>604972.91</v>
      </c>
      <c r="M74">
        <v>3923541</v>
      </c>
      <c r="N74">
        <v>0.84</v>
      </c>
      <c r="O74">
        <v>3268067.25</v>
      </c>
      <c r="P74">
        <v>989380</v>
      </c>
      <c r="Q74">
        <v>2278687.25</v>
      </c>
      <c r="R74">
        <v>0</v>
      </c>
      <c r="S74">
        <v>67</v>
      </c>
      <c r="T74">
        <v>0</v>
      </c>
      <c r="U74">
        <v>0</v>
      </c>
      <c r="V74" s="9">
        <v>46189.853409826392</v>
      </c>
    </row>
    <row r="75" spans="1:22" x14ac:dyDescent="0.2">
      <c r="A75" s="8">
        <v>45882</v>
      </c>
      <c r="B75">
        <v>11</v>
      </c>
      <c r="C75">
        <v>2.2999999999999998</v>
      </c>
      <c r="D75">
        <v>102215.433</v>
      </c>
      <c r="E75">
        <v>0</v>
      </c>
      <c r="F75">
        <v>1152100.8600000001</v>
      </c>
      <c r="G75">
        <v>0</v>
      </c>
      <c r="H75">
        <v>0</v>
      </c>
      <c r="I75">
        <v>1152100.8600000001</v>
      </c>
      <c r="J75">
        <v>91500</v>
      </c>
      <c r="K75">
        <v>0</v>
      </c>
      <c r="L75">
        <v>218899.14</v>
      </c>
      <c r="M75">
        <v>1462500</v>
      </c>
      <c r="N75">
        <v>0</v>
      </c>
      <c r="O75">
        <v>1152100.8600000001</v>
      </c>
      <c r="P75">
        <v>349922</v>
      </c>
      <c r="Q75">
        <v>802178.86</v>
      </c>
      <c r="R75">
        <v>0</v>
      </c>
      <c r="S75">
        <v>27</v>
      </c>
      <c r="T75">
        <v>0</v>
      </c>
      <c r="U75">
        <v>0</v>
      </c>
      <c r="V75" s="9">
        <v>46189.853409826392</v>
      </c>
    </row>
    <row r="76" spans="1:22" x14ac:dyDescent="0.2">
      <c r="A76" s="8">
        <v>45883</v>
      </c>
      <c r="B76">
        <v>16</v>
      </c>
      <c r="C76">
        <v>2.5</v>
      </c>
      <c r="D76">
        <v>192017.33100000001</v>
      </c>
      <c r="E76">
        <v>-32</v>
      </c>
      <c r="F76">
        <v>4741605.03</v>
      </c>
      <c r="G76">
        <v>-569327.72</v>
      </c>
      <c r="H76">
        <v>-1079831.94</v>
      </c>
      <c r="I76">
        <v>3092445.37</v>
      </c>
      <c r="J76">
        <v>18000</v>
      </c>
      <c r="K76">
        <v>0</v>
      </c>
      <c r="L76">
        <v>582054.63</v>
      </c>
      <c r="M76">
        <v>3692500</v>
      </c>
      <c r="N76">
        <v>0</v>
      </c>
      <c r="O76">
        <v>3092445.37</v>
      </c>
      <c r="P76">
        <v>979792</v>
      </c>
      <c r="Q76">
        <v>2112653.37</v>
      </c>
      <c r="R76">
        <v>0</v>
      </c>
      <c r="S76">
        <v>42</v>
      </c>
      <c r="T76">
        <v>0</v>
      </c>
      <c r="U76">
        <v>0</v>
      </c>
      <c r="V76" s="9">
        <v>46189.853409826392</v>
      </c>
    </row>
    <row r="77" spans="1:22" x14ac:dyDescent="0.2">
      <c r="A77" s="8">
        <v>45884</v>
      </c>
      <c r="B77">
        <v>13</v>
      </c>
      <c r="C77">
        <v>3.1</v>
      </c>
      <c r="D77">
        <v>150006.465</v>
      </c>
      <c r="E77">
        <v>-3</v>
      </c>
      <c r="F77">
        <v>2004705.9</v>
      </c>
      <c r="G77">
        <v>0</v>
      </c>
      <c r="H77">
        <v>-126050.42</v>
      </c>
      <c r="I77">
        <v>1878655.48</v>
      </c>
      <c r="J77">
        <v>36000</v>
      </c>
      <c r="K77">
        <v>0</v>
      </c>
      <c r="L77">
        <v>356944.52</v>
      </c>
      <c r="M77">
        <v>2271600</v>
      </c>
      <c r="N77">
        <v>0</v>
      </c>
      <c r="O77">
        <v>1878655.48</v>
      </c>
      <c r="P77">
        <v>488037</v>
      </c>
      <c r="Q77">
        <v>1390618.48</v>
      </c>
      <c r="R77">
        <v>0</v>
      </c>
      <c r="S77">
        <v>38</v>
      </c>
      <c r="T77">
        <v>0</v>
      </c>
      <c r="U77">
        <v>0</v>
      </c>
      <c r="V77" s="9">
        <v>46189.853409826392</v>
      </c>
    </row>
    <row r="78" spans="1:22" x14ac:dyDescent="0.2">
      <c r="A78" s="8">
        <v>45885</v>
      </c>
      <c r="B78">
        <v>23</v>
      </c>
      <c r="C78">
        <v>2.4</v>
      </c>
      <c r="D78">
        <v>183306.905</v>
      </c>
      <c r="E78">
        <v>0</v>
      </c>
      <c r="F78">
        <v>4216058.83</v>
      </c>
      <c r="G78">
        <v>0</v>
      </c>
      <c r="H78">
        <v>0</v>
      </c>
      <c r="I78">
        <v>4216058.83</v>
      </c>
      <c r="J78">
        <v>63000</v>
      </c>
      <c r="K78">
        <v>0</v>
      </c>
      <c r="L78">
        <v>787941.17</v>
      </c>
      <c r="M78">
        <v>5067000</v>
      </c>
      <c r="N78">
        <v>252100.84</v>
      </c>
      <c r="O78">
        <v>3963957.99</v>
      </c>
      <c r="P78">
        <v>1459485</v>
      </c>
      <c r="Q78">
        <v>2504472.9900000002</v>
      </c>
      <c r="R78">
        <v>0</v>
      </c>
      <c r="S78">
        <v>55</v>
      </c>
      <c r="T78">
        <v>0</v>
      </c>
      <c r="U78">
        <v>0</v>
      </c>
      <c r="V78" s="9">
        <v>46189.853409826392</v>
      </c>
    </row>
    <row r="79" spans="1:22" x14ac:dyDescent="0.2">
      <c r="A79" s="8">
        <v>45886</v>
      </c>
      <c r="B79">
        <v>7</v>
      </c>
      <c r="C79">
        <v>2.9</v>
      </c>
      <c r="D79">
        <v>182334.935</v>
      </c>
      <c r="E79">
        <v>-3</v>
      </c>
      <c r="F79">
        <v>1654495.81</v>
      </c>
      <c r="G79">
        <v>0</v>
      </c>
      <c r="H79">
        <v>-378151.26</v>
      </c>
      <c r="I79">
        <v>1276344.55</v>
      </c>
      <c r="J79">
        <v>14500</v>
      </c>
      <c r="K79">
        <v>0</v>
      </c>
      <c r="L79">
        <v>230155.45</v>
      </c>
      <c r="M79">
        <v>1521000</v>
      </c>
      <c r="N79">
        <v>0</v>
      </c>
      <c r="O79">
        <v>1276344.55</v>
      </c>
      <c r="P79">
        <v>265130</v>
      </c>
      <c r="Q79">
        <v>1011214.55</v>
      </c>
      <c r="R79">
        <v>0</v>
      </c>
      <c r="S79">
        <v>20</v>
      </c>
      <c r="T79">
        <v>0</v>
      </c>
      <c r="U79">
        <v>0</v>
      </c>
      <c r="V79" s="9">
        <v>46189.853409826392</v>
      </c>
    </row>
    <row r="80" spans="1:22" x14ac:dyDescent="0.2">
      <c r="A80" s="8">
        <v>45887</v>
      </c>
      <c r="B80">
        <v>8</v>
      </c>
      <c r="C80">
        <v>1.6</v>
      </c>
      <c r="D80">
        <v>95758.403000000006</v>
      </c>
      <c r="E80">
        <v>0</v>
      </c>
      <c r="F80">
        <v>766067.23</v>
      </c>
      <c r="G80">
        <v>0</v>
      </c>
      <c r="H80">
        <v>0</v>
      </c>
      <c r="I80">
        <v>766067.23</v>
      </c>
      <c r="J80">
        <v>32500</v>
      </c>
      <c r="K80">
        <v>0</v>
      </c>
      <c r="L80">
        <v>126932.77</v>
      </c>
      <c r="M80">
        <v>925500</v>
      </c>
      <c r="N80">
        <v>0</v>
      </c>
      <c r="O80">
        <v>766067.23</v>
      </c>
      <c r="P80">
        <v>258839</v>
      </c>
      <c r="Q80">
        <v>507228.23</v>
      </c>
      <c r="R80">
        <v>0</v>
      </c>
      <c r="S80">
        <v>13</v>
      </c>
      <c r="T80">
        <v>0</v>
      </c>
      <c r="U80">
        <v>0</v>
      </c>
      <c r="V80" s="9">
        <v>46189.853409826392</v>
      </c>
    </row>
    <row r="81" spans="1:22" x14ac:dyDescent="0.2">
      <c r="A81" s="8">
        <v>45888</v>
      </c>
      <c r="B81">
        <v>23</v>
      </c>
      <c r="C81">
        <v>2</v>
      </c>
      <c r="D81">
        <v>167092.07199999999</v>
      </c>
      <c r="E81">
        <v>-2</v>
      </c>
      <c r="F81">
        <v>3993117.66</v>
      </c>
      <c r="G81">
        <v>-7563.02</v>
      </c>
      <c r="H81">
        <v>-113445.38</v>
      </c>
      <c r="I81">
        <v>3872109.26</v>
      </c>
      <c r="J81">
        <v>47000</v>
      </c>
      <c r="K81">
        <v>0</v>
      </c>
      <c r="L81">
        <v>726390.74</v>
      </c>
      <c r="M81">
        <v>4645500</v>
      </c>
      <c r="N81">
        <v>0</v>
      </c>
      <c r="O81">
        <v>3872109.26</v>
      </c>
      <c r="P81">
        <v>1050395</v>
      </c>
      <c r="Q81">
        <v>2821714.26</v>
      </c>
      <c r="R81">
        <v>0</v>
      </c>
      <c r="S81">
        <v>49</v>
      </c>
      <c r="T81">
        <v>0</v>
      </c>
      <c r="U81">
        <v>0</v>
      </c>
      <c r="V81" s="9">
        <v>46189.853409826392</v>
      </c>
    </row>
    <row r="82" spans="1:22" x14ac:dyDescent="0.2">
      <c r="A82" s="8">
        <v>45889</v>
      </c>
      <c r="B82">
        <v>18</v>
      </c>
      <c r="C82">
        <v>1.8</v>
      </c>
      <c r="D82">
        <v>109243.698</v>
      </c>
      <c r="E82">
        <v>-2</v>
      </c>
      <c r="F82">
        <v>1966386.58</v>
      </c>
      <c r="G82">
        <v>0</v>
      </c>
      <c r="H82">
        <v>166.05</v>
      </c>
      <c r="I82">
        <v>1966552.63</v>
      </c>
      <c r="J82">
        <v>75000</v>
      </c>
      <c r="K82">
        <v>0</v>
      </c>
      <c r="L82">
        <v>373447.37</v>
      </c>
      <c r="M82">
        <v>2415000</v>
      </c>
      <c r="N82">
        <v>0</v>
      </c>
      <c r="O82">
        <v>1965512.63</v>
      </c>
      <c r="P82">
        <v>483348</v>
      </c>
      <c r="Q82">
        <v>1482164.63</v>
      </c>
      <c r="R82">
        <v>0</v>
      </c>
      <c r="S82">
        <v>31</v>
      </c>
      <c r="T82">
        <v>0</v>
      </c>
      <c r="U82">
        <v>0</v>
      </c>
      <c r="V82" s="9">
        <v>46189.853409826392</v>
      </c>
    </row>
    <row r="83" spans="1:22" x14ac:dyDescent="0.2">
      <c r="A83" s="8">
        <v>45890</v>
      </c>
      <c r="B83">
        <v>20</v>
      </c>
      <c r="C83">
        <v>1.8</v>
      </c>
      <c r="D83">
        <v>167460.08499999999</v>
      </c>
      <c r="E83">
        <v>0</v>
      </c>
      <c r="F83">
        <v>3460126.04</v>
      </c>
      <c r="G83">
        <v>-110924.34</v>
      </c>
      <c r="H83">
        <v>0</v>
      </c>
      <c r="I83">
        <v>3349201.7</v>
      </c>
      <c r="J83">
        <v>38000</v>
      </c>
      <c r="K83">
        <v>0</v>
      </c>
      <c r="L83">
        <v>570798.30000000005</v>
      </c>
      <c r="M83">
        <v>3958000</v>
      </c>
      <c r="N83">
        <v>250000</v>
      </c>
      <c r="O83">
        <v>3099201.7</v>
      </c>
      <c r="P83">
        <v>836677</v>
      </c>
      <c r="Q83">
        <v>2262524.7000000002</v>
      </c>
      <c r="R83">
        <v>0</v>
      </c>
      <c r="S83">
        <v>36</v>
      </c>
      <c r="T83">
        <v>0</v>
      </c>
      <c r="U83">
        <v>0</v>
      </c>
      <c r="V83" s="9">
        <v>46189.853409826392</v>
      </c>
    </row>
    <row r="84" spans="1:22" x14ac:dyDescent="0.2">
      <c r="A84" s="8">
        <v>45891</v>
      </c>
      <c r="B84">
        <v>17</v>
      </c>
      <c r="C84">
        <v>3.7</v>
      </c>
      <c r="D84">
        <v>161879.88200000001</v>
      </c>
      <c r="E84">
        <v>0</v>
      </c>
      <c r="F84">
        <v>2898596.65</v>
      </c>
      <c r="G84">
        <v>-129831.93</v>
      </c>
      <c r="H84">
        <v>0</v>
      </c>
      <c r="I84">
        <v>2768764.72</v>
      </c>
      <c r="J84">
        <v>23500</v>
      </c>
      <c r="K84">
        <v>0</v>
      </c>
      <c r="L84">
        <v>500415.28</v>
      </c>
      <c r="M84">
        <v>3292680</v>
      </c>
      <c r="N84">
        <v>0</v>
      </c>
      <c r="O84">
        <v>2768764.72</v>
      </c>
      <c r="P84">
        <v>835183</v>
      </c>
      <c r="Q84">
        <v>1933581.72</v>
      </c>
      <c r="R84">
        <v>0</v>
      </c>
      <c r="S84">
        <v>64</v>
      </c>
      <c r="T84">
        <v>0</v>
      </c>
      <c r="U84">
        <v>0</v>
      </c>
      <c r="V84" s="9">
        <v>46189.853409826392</v>
      </c>
    </row>
    <row r="85" spans="1:22" x14ac:dyDescent="0.2">
      <c r="A85" s="8">
        <v>45892</v>
      </c>
      <c r="B85">
        <v>18</v>
      </c>
      <c r="C85">
        <v>2.1</v>
      </c>
      <c r="D85">
        <v>126454.24800000001</v>
      </c>
      <c r="E85">
        <v>0</v>
      </c>
      <c r="F85">
        <v>2376008.41</v>
      </c>
      <c r="G85">
        <v>-20000</v>
      </c>
      <c r="H85">
        <v>0</v>
      </c>
      <c r="I85">
        <v>2356008.41</v>
      </c>
      <c r="J85">
        <v>18000</v>
      </c>
      <c r="K85">
        <v>0</v>
      </c>
      <c r="L85">
        <v>440991.59</v>
      </c>
      <c r="M85">
        <v>2815000</v>
      </c>
      <c r="N85">
        <v>0</v>
      </c>
      <c r="O85">
        <v>2356008.41</v>
      </c>
      <c r="P85">
        <v>744187</v>
      </c>
      <c r="Q85">
        <v>1611821.41</v>
      </c>
      <c r="R85">
        <v>0</v>
      </c>
      <c r="S85">
        <v>40</v>
      </c>
      <c r="T85">
        <v>0</v>
      </c>
      <c r="U85">
        <v>0</v>
      </c>
      <c r="V85" s="9">
        <v>46189.853409826392</v>
      </c>
    </row>
    <row r="86" spans="1:22" x14ac:dyDescent="0.2">
      <c r="A86" s="8">
        <v>45893</v>
      </c>
      <c r="B86">
        <v>20</v>
      </c>
      <c r="C86">
        <v>2</v>
      </c>
      <c r="D86">
        <v>130284.452</v>
      </c>
      <c r="E86">
        <v>0</v>
      </c>
      <c r="F86">
        <v>2605689.0499999998</v>
      </c>
      <c r="G86">
        <v>0</v>
      </c>
      <c r="H86">
        <v>0</v>
      </c>
      <c r="I86">
        <v>2605689.0499999998</v>
      </c>
      <c r="J86">
        <v>43500</v>
      </c>
      <c r="K86">
        <v>0</v>
      </c>
      <c r="L86">
        <v>441310.95</v>
      </c>
      <c r="M86">
        <v>3090500</v>
      </c>
      <c r="N86">
        <v>96000</v>
      </c>
      <c r="O86">
        <v>2509689.0499999998</v>
      </c>
      <c r="P86">
        <v>804180</v>
      </c>
      <c r="Q86">
        <v>1705509.05</v>
      </c>
      <c r="R86">
        <v>0</v>
      </c>
      <c r="S86">
        <v>41</v>
      </c>
      <c r="T86">
        <v>0</v>
      </c>
      <c r="U86">
        <v>0</v>
      </c>
      <c r="V86" s="9">
        <v>46189.853409826392</v>
      </c>
    </row>
    <row r="87" spans="1:22" x14ac:dyDescent="0.2">
      <c r="A87" s="8">
        <v>45894</v>
      </c>
      <c r="B87">
        <v>22</v>
      </c>
      <c r="C87">
        <v>2.1</v>
      </c>
      <c r="D87">
        <v>140374.37700000001</v>
      </c>
      <c r="E87">
        <v>0</v>
      </c>
      <c r="F87">
        <v>3088236.31</v>
      </c>
      <c r="G87">
        <v>0</v>
      </c>
      <c r="H87">
        <v>0</v>
      </c>
      <c r="I87">
        <v>3088236.31</v>
      </c>
      <c r="J87">
        <v>57000</v>
      </c>
      <c r="K87">
        <v>0</v>
      </c>
      <c r="L87">
        <v>586764.68999999994</v>
      </c>
      <c r="M87">
        <v>3732001</v>
      </c>
      <c r="N87">
        <v>44538.82</v>
      </c>
      <c r="O87">
        <v>3043697.49</v>
      </c>
      <c r="P87">
        <v>1039140</v>
      </c>
      <c r="Q87">
        <v>2004557.49</v>
      </c>
      <c r="R87">
        <v>0</v>
      </c>
      <c r="S87">
        <v>46</v>
      </c>
      <c r="T87">
        <v>0</v>
      </c>
      <c r="U87">
        <v>0</v>
      </c>
      <c r="V87" s="9">
        <v>46189.853409826392</v>
      </c>
    </row>
    <row r="88" spans="1:22" x14ac:dyDescent="0.2">
      <c r="A88" s="8">
        <v>45895</v>
      </c>
      <c r="B88">
        <v>19</v>
      </c>
      <c r="C88">
        <v>2.4</v>
      </c>
      <c r="D88">
        <v>140667.84599999999</v>
      </c>
      <c r="E88">
        <v>-1</v>
      </c>
      <c r="F88">
        <v>2731512.61</v>
      </c>
      <c r="G88">
        <v>0</v>
      </c>
      <c r="H88">
        <v>-84033.61</v>
      </c>
      <c r="I88">
        <v>2647479</v>
      </c>
      <c r="J88">
        <v>54000</v>
      </c>
      <c r="K88">
        <v>0</v>
      </c>
      <c r="L88">
        <v>503021</v>
      </c>
      <c r="M88">
        <v>3204500</v>
      </c>
      <c r="N88">
        <v>37815.129999999997</v>
      </c>
      <c r="O88">
        <v>2609663.87</v>
      </c>
      <c r="P88">
        <v>644735</v>
      </c>
      <c r="Q88">
        <v>1964928.87</v>
      </c>
      <c r="R88">
        <v>0</v>
      </c>
      <c r="S88">
        <v>46</v>
      </c>
      <c r="T88">
        <v>0</v>
      </c>
      <c r="U88">
        <v>0</v>
      </c>
      <c r="V88" s="9">
        <v>46189.853409826392</v>
      </c>
    </row>
    <row r="89" spans="1:22" x14ac:dyDescent="0.2">
      <c r="A89" s="8">
        <v>45896</v>
      </c>
      <c r="B89">
        <v>16</v>
      </c>
      <c r="C89">
        <v>1.8</v>
      </c>
      <c r="D89">
        <v>105304.621</v>
      </c>
      <c r="E89">
        <v>-2</v>
      </c>
      <c r="F89">
        <v>1991176.48</v>
      </c>
      <c r="G89">
        <v>0</v>
      </c>
      <c r="H89">
        <v>-117647.06</v>
      </c>
      <c r="I89">
        <v>1873529.42</v>
      </c>
      <c r="J89">
        <v>55500</v>
      </c>
      <c r="K89">
        <v>0</v>
      </c>
      <c r="L89">
        <v>355970.58</v>
      </c>
      <c r="M89">
        <v>2285000</v>
      </c>
      <c r="N89">
        <v>0</v>
      </c>
      <c r="O89">
        <v>1873529.42</v>
      </c>
      <c r="P89">
        <v>478108</v>
      </c>
      <c r="Q89">
        <v>1395421.42</v>
      </c>
      <c r="R89">
        <v>0</v>
      </c>
      <c r="S89">
        <v>32</v>
      </c>
      <c r="T89">
        <v>0</v>
      </c>
      <c r="U89">
        <v>0</v>
      </c>
      <c r="V89" s="9">
        <v>46189.853409826392</v>
      </c>
    </row>
    <row r="90" spans="1:22" x14ac:dyDescent="0.2">
      <c r="A90" s="8">
        <v>45897</v>
      </c>
      <c r="B90">
        <v>23</v>
      </c>
      <c r="C90">
        <v>1.7</v>
      </c>
      <c r="D90">
        <v>115875.04700000001</v>
      </c>
      <c r="E90">
        <v>0</v>
      </c>
      <c r="F90">
        <v>2747479.04</v>
      </c>
      <c r="G90">
        <v>-31932.77</v>
      </c>
      <c r="H90">
        <v>0</v>
      </c>
      <c r="I90">
        <v>2715546.27</v>
      </c>
      <c r="J90">
        <v>36000</v>
      </c>
      <c r="K90">
        <v>0</v>
      </c>
      <c r="L90">
        <v>515953.73</v>
      </c>
      <c r="M90">
        <v>3267500</v>
      </c>
      <c r="N90">
        <v>168907.57</v>
      </c>
      <c r="O90">
        <v>2546638.7000000002</v>
      </c>
      <c r="P90">
        <v>753979</v>
      </c>
      <c r="Q90">
        <v>1792659.7</v>
      </c>
      <c r="R90">
        <v>0</v>
      </c>
      <c r="S90">
        <v>41</v>
      </c>
      <c r="T90">
        <v>0</v>
      </c>
      <c r="U90">
        <v>0</v>
      </c>
      <c r="V90" s="9">
        <v>46189.853409826392</v>
      </c>
    </row>
    <row r="91" spans="1:22" x14ac:dyDescent="0.2">
      <c r="A91" s="8">
        <v>45898</v>
      </c>
      <c r="B91">
        <v>21</v>
      </c>
      <c r="C91">
        <v>3</v>
      </c>
      <c r="D91">
        <v>169247.69899999999</v>
      </c>
      <c r="E91">
        <v>0</v>
      </c>
      <c r="F91">
        <v>3592016.82</v>
      </c>
      <c r="G91">
        <v>0</v>
      </c>
      <c r="H91">
        <v>0</v>
      </c>
      <c r="I91">
        <v>3592016.82</v>
      </c>
      <c r="J91">
        <v>41500</v>
      </c>
      <c r="K91">
        <v>0</v>
      </c>
      <c r="L91">
        <v>682483.18</v>
      </c>
      <c r="M91">
        <v>4316000</v>
      </c>
      <c r="N91">
        <v>0</v>
      </c>
      <c r="O91">
        <v>3592016.82</v>
      </c>
      <c r="P91">
        <v>882971</v>
      </c>
      <c r="Q91">
        <v>2709045.82</v>
      </c>
      <c r="R91">
        <v>200000</v>
      </c>
      <c r="S91">
        <v>63</v>
      </c>
      <c r="T91">
        <v>0</v>
      </c>
      <c r="U91">
        <v>200000</v>
      </c>
      <c r="V91" s="9">
        <v>46189.853409826392</v>
      </c>
    </row>
    <row r="92" spans="1:22" x14ac:dyDescent="0.2">
      <c r="A92" s="8">
        <v>45899</v>
      </c>
      <c r="B92">
        <v>15</v>
      </c>
      <c r="C92">
        <v>2</v>
      </c>
      <c r="D92">
        <v>106336.694</v>
      </c>
      <c r="E92">
        <v>-1</v>
      </c>
      <c r="F92">
        <v>1596731.08</v>
      </c>
      <c r="G92">
        <v>-1680.66</v>
      </c>
      <c r="H92">
        <v>0</v>
      </c>
      <c r="I92">
        <v>1595050.42</v>
      </c>
      <c r="J92">
        <v>0</v>
      </c>
      <c r="K92">
        <v>0</v>
      </c>
      <c r="L92">
        <v>270949.58</v>
      </c>
      <c r="M92">
        <v>1866000</v>
      </c>
      <c r="N92">
        <v>0</v>
      </c>
      <c r="O92">
        <v>1595050.42</v>
      </c>
      <c r="P92">
        <v>663284</v>
      </c>
      <c r="Q92">
        <v>931766.42</v>
      </c>
      <c r="R92">
        <v>210000</v>
      </c>
      <c r="S92">
        <v>29</v>
      </c>
      <c r="T92">
        <v>0</v>
      </c>
      <c r="U92">
        <v>210000</v>
      </c>
      <c r="V92" s="9">
        <v>46189.853409826392</v>
      </c>
    </row>
    <row r="93" spans="1:22" x14ac:dyDescent="0.2">
      <c r="A93" s="8">
        <v>45900</v>
      </c>
      <c r="B93">
        <v>17</v>
      </c>
      <c r="C93">
        <v>1.7</v>
      </c>
      <c r="D93">
        <v>124137.914</v>
      </c>
      <c r="E93">
        <v>0</v>
      </c>
      <c r="F93">
        <v>2110344.5499999998</v>
      </c>
      <c r="G93">
        <v>0</v>
      </c>
      <c r="H93">
        <v>0</v>
      </c>
      <c r="I93">
        <v>2110344.5499999998</v>
      </c>
      <c r="J93">
        <v>72000</v>
      </c>
      <c r="K93">
        <v>0</v>
      </c>
      <c r="L93">
        <v>391655.45</v>
      </c>
      <c r="M93">
        <v>2574000</v>
      </c>
      <c r="N93">
        <v>0</v>
      </c>
      <c r="O93">
        <v>2110344.5499999998</v>
      </c>
      <c r="P93">
        <v>769144</v>
      </c>
      <c r="Q93">
        <v>1341200.55</v>
      </c>
      <c r="R93">
        <v>0</v>
      </c>
      <c r="S93">
        <v>29</v>
      </c>
      <c r="T93">
        <v>0</v>
      </c>
      <c r="U93">
        <v>0</v>
      </c>
      <c r="V93" s="9">
        <v>46189.853409826392</v>
      </c>
    </row>
    <row r="94" spans="1:22" x14ac:dyDescent="0.2">
      <c r="A94" s="8">
        <v>45901</v>
      </c>
      <c r="B94">
        <v>17</v>
      </c>
      <c r="C94">
        <v>2.2000000000000002</v>
      </c>
      <c r="D94">
        <v>145056.845</v>
      </c>
      <c r="E94">
        <v>-1</v>
      </c>
      <c r="F94">
        <v>2529831.89</v>
      </c>
      <c r="G94">
        <v>-20168.03</v>
      </c>
      <c r="H94">
        <v>-46218.48</v>
      </c>
      <c r="I94">
        <v>2463445.38</v>
      </c>
      <c r="J94">
        <v>83000</v>
      </c>
      <c r="K94">
        <v>0</v>
      </c>
      <c r="L94">
        <v>468054.62</v>
      </c>
      <c r="M94">
        <v>3014500</v>
      </c>
      <c r="N94">
        <v>75630.25</v>
      </c>
      <c r="O94">
        <v>2387815.13</v>
      </c>
      <c r="P94">
        <v>709333</v>
      </c>
      <c r="Q94">
        <v>1678482.13</v>
      </c>
      <c r="R94">
        <v>0</v>
      </c>
      <c r="S94">
        <v>38</v>
      </c>
      <c r="T94">
        <v>0</v>
      </c>
      <c r="U94">
        <v>0</v>
      </c>
      <c r="V94" s="9">
        <v>46189.853409826392</v>
      </c>
    </row>
    <row r="95" spans="1:22" x14ac:dyDescent="0.2">
      <c r="A95" s="8">
        <v>45902</v>
      </c>
      <c r="B95">
        <v>16</v>
      </c>
      <c r="C95">
        <v>2.4</v>
      </c>
      <c r="D95">
        <v>169590.33600000001</v>
      </c>
      <c r="E95">
        <v>-3</v>
      </c>
      <c r="F95">
        <v>2801680.68</v>
      </c>
      <c r="G95">
        <v>0</v>
      </c>
      <c r="H95">
        <v>-88235.29</v>
      </c>
      <c r="I95">
        <v>2713445.39</v>
      </c>
      <c r="J95">
        <v>36000</v>
      </c>
      <c r="K95">
        <v>0</v>
      </c>
      <c r="L95">
        <v>515554.61</v>
      </c>
      <c r="M95">
        <v>3265000</v>
      </c>
      <c r="N95">
        <v>88235.29</v>
      </c>
      <c r="O95">
        <v>2625210.1</v>
      </c>
      <c r="P95">
        <v>688400</v>
      </c>
      <c r="Q95">
        <v>1936810.1</v>
      </c>
      <c r="R95">
        <v>0</v>
      </c>
      <c r="S95">
        <v>38</v>
      </c>
      <c r="T95">
        <v>0</v>
      </c>
      <c r="U95">
        <v>0</v>
      </c>
      <c r="V95" s="9">
        <v>46189.853409826392</v>
      </c>
    </row>
    <row r="96" spans="1:22" x14ac:dyDescent="0.2">
      <c r="A96" s="8">
        <v>45903</v>
      </c>
      <c r="B96">
        <v>16</v>
      </c>
      <c r="C96">
        <v>1.9</v>
      </c>
      <c r="D96">
        <v>142481.61799999999</v>
      </c>
      <c r="E96">
        <v>0</v>
      </c>
      <c r="F96">
        <v>2292310.91</v>
      </c>
      <c r="G96">
        <v>-12605.01</v>
      </c>
      <c r="H96">
        <v>0</v>
      </c>
      <c r="I96">
        <v>2279705.9</v>
      </c>
      <c r="J96">
        <v>18000</v>
      </c>
      <c r="K96">
        <v>0</v>
      </c>
      <c r="L96">
        <v>411294.1</v>
      </c>
      <c r="M96">
        <v>2709000</v>
      </c>
      <c r="N96">
        <v>0</v>
      </c>
      <c r="O96">
        <v>2279705.9</v>
      </c>
      <c r="P96">
        <v>695955</v>
      </c>
      <c r="Q96">
        <v>1583750.9</v>
      </c>
      <c r="R96">
        <v>0</v>
      </c>
      <c r="S96">
        <v>30</v>
      </c>
      <c r="T96">
        <v>0</v>
      </c>
      <c r="U96">
        <v>0</v>
      </c>
      <c r="V96" s="9">
        <v>46189.853409826392</v>
      </c>
    </row>
    <row r="97" spans="1:22" x14ac:dyDescent="0.2">
      <c r="A97" s="8">
        <v>45904</v>
      </c>
      <c r="B97">
        <v>26</v>
      </c>
      <c r="C97">
        <v>4.5999999999999996</v>
      </c>
      <c r="D97">
        <v>221671.00899999999</v>
      </c>
      <c r="E97">
        <v>-8</v>
      </c>
      <c r="F97">
        <v>6117227.7300000004</v>
      </c>
      <c r="G97">
        <v>-227731.07</v>
      </c>
      <c r="H97">
        <v>-478991.59</v>
      </c>
      <c r="I97">
        <v>5410505.0700000003</v>
      </c>
      <c r="J97">
        <v>79500</v>
      </c>
      <c r="K97">
        <v>0</v>
      </c>
      <c r="L97">
        <v>1027995.93</v>
      </c>
      <c r="M97">
        <v>6518001</v>
      </c>
      <c r="N97">
        <v>0.84</v>
      </c>
      <c r="O97">
        <v>5410504.2300000004</v>
      </c>
      <c r="P97">
        <v>1721426</v>
      </c>
      <c r="Q97">
        <v>3689078.23</v>
      </c>
      <c r="R97">
        <v>0</v>
      </c>
      <c r="S97">
        <v>113</v>
      </c>
      <c r="T97">
        <v>0</v>
      </c>
      <c r="U97">
        <v>0</v>
      </c>
      <c r="V97" s="9">
        <v>46189.853409826392</v>
      </c>
    </row>
    <row r="98" spans="1:22" x14ac:dyDescent="0.2">
      <c r="A98" s="8">
        <v>45905</v>
      </c>
      <c r="B98">
        <v>18</v>
      </c>
      <c r="C98">
        <v>7.8</v>
      </c>
      <c r="D98">
        <v>231465.92</v>
      </c>
      <c r="E98">
        <v>0</v>
      </c>
      <c r="F98">
        <v>4536974.78</v>
      </c>
      <c r="G98">
        <v>-370588.21</v>
      </c>
      <c r="H98">
        <v>0</v>
      </c>
      <c r="I98">
        <v>4166386.57</v>
      </c>
      <c r="J98">
        <v>56000</v>
      </c>
      <c r="K98">
        <v>0</v>
      </c>
      <c r="L98">
        <v>791613.43</v>
      </c>
      <c r="M98">
        <v>5014000</v>
      </c>
      <c r="N98">
        <v>0</v>
      </c>
      <c r="O98">
        <v>4166386.57</v>
      </c>
      <c r="P98">
        <v>1480498</v>
      </c>
      <c r="Q98">
        <v>2685888.57</v>
      </c>
      <c r="R98">
        <v>0</v>
      </c>
      <c r="S98">
        <v>141</v>
      </c>
      <c r="T98">
        <v>0</v>
      </c>
      <c r="U98">
        <v>0</v>
      </c>
      <c r="V98" s="9">
        <v>46189.853409826392</v>
      </c>
    </row>
    <row r="99" spans="1:22" x14ac:dyDescent="0.2">
      <c r="A99" s="8">
        <v>45906</v>
      </c>
      <c r="B99">
        <v>22</v>
      </c>
      <c r="C99">
        <v>2.5</v>
      </c>
      <c r="D99">
        <v>137453.78099999999</v>
      </c>
      <c r="E99">
        <v>0</v>
      </c>
      <c r="F99">
        <v>3213058.83</v>
      </c>
      <c r="G99">
        <v>0</v>
      </c>
      <c r="H99">
        <v>0</v>
      </c>
      <c r="I99">
        <v>3213058.83</v>
      </c>
      <c r="J99">
        <v>38000</v>
      </c>
      <c r="K99">
        <v>0</v>
      </c>
      <c r="L99">
        <v>559941.17000000004</v>
      </c>
      <c r="M99">
        <v>3811000</v>
      </c>
      <c r="N99">
        <v>0</v>
      </c>
      <c r="O99">
        <v>3213058.83</v>
      </c>
      <c r="P99">
        <v>963473</v>
      </c>
      <c r="Q99">
        <v>2249585.83</v>
      </c>
      <c r="R99">
        <v>0</v>
      </c>
      <c r="S99">
        <v>57</v>
      </c>
      <c r="T99">
        <v>0</v>
      </c>
      <c r="U99">
        <v>0</v>
      </c>
      <c r="V99" s="9">
        <v>46189.853409826392</v>
      </c>
    </row>
    <row r="100" spans="1:22" x14ac:dyDescent="0.2">
      <c r="A100" s="8">
        <v>45907</v>
      </c>
      <c r="B100">
        <v>11</v>
      </c>
      <c r="C100">
        <v>3.2</v>
      </c>
      <c r="D100">
        <v>186430.864</v>
      </c>
      <c r="E100">
        <v>0</v>
      </c>
      <c r="F100">
        <v>2050739.51</v>
      </c>
      <c r="G100">
        <v>0</v>
      </c>
      <c r="H100">
        <v>0</v>
      </c>
      <c r="I100">
        <v>2050739.51</v>
      </c>
      <c r="J100">
        <v>53500</v>
      </c>
      <c r="K100">
        <v>0</v>
      </c>
      <c r="L100">
        <v>370260.49</v>
      </c>
      <c r="M100">
        <v>2474500</v>
      </c>
      <c r="N100">
        <v>126050.42</v>
      </c>
      <c r="O100">
        <v>1924689.09</v>
      </c>
      <c r="P100">
        <v>646771</v>
      </c>
      <c r="Q100">
        <v>1277918.0900000001</v>
      </c>
      <c r="R100">
        <v>0</v>
      </c>
      <c r="S100">
        <v>35</v>
      </c>
      <c r="T100">
        <v>0</v>
      </c>
      <c r="U100">
        <v>0</v>
      </c>
      <c r="V100" s="9">
        <v>46189.853409826392</v>
      </c>
    </row>
    <row r="101" spans="1:22" x14ac:dyDescent="0.2">
      <c r="A101" s="8">
        <v>45908</v>
      </c>
      <c r="B101">
        <v>19</v>
      </c>
      <c r="C101">
        <v>3.4</v>
      </c>
      <c r="D101">
        <v>184343.21</v>
      </c>
      <c r="E101">
        <v>0</v>
      </c>
      <c r="F101">
        <v>3527731.06</v>
      </c>
      <c r="G101">
        <v>-25210.06</v>
      </c>
      <c r="H101">
        <v>0</v>
      </c>
      <c r="I101">
        <v>3502521</v>
      </c>
      <c r="J101">
        <v>128500</v>
      </c>
      <c r="K101">
        <v>0</v>
      </c>
      <c r="L101">
        <v>665479</v>
      </c>
      <c r="M101">
        <v>4296500</v>
      </c>
      <c r="N101">
        <v>172268.88</v>
      </c>
      <c r="O101">
        <v>3330252.12</v>
      </c>
      <c r="P101">
        <v>971980</v>
      </c>
      <c r="Q101">
        <v>2358272.12</v>
      </c>
      <c r="R101">
        <v>0</v>
      </c>
      <c r="S101">
        <v>64</v>
      </c>
      <c r="T101">
        <v>0</v>
      </c>
      <c r="U101">
        <v>0</v>
      </c>
      <c r="V101" s="9">
        <v>46189.853409826392</v>
      </c>
    </row>
    <row r="102" spans="1:22" x14ac:dyDescent="0.2">
      <c r="A102" s="8">
        <v>45909</v>
      </c>
      <c r="B102">
        <v>33</v>
      </c>
      <c r="C102">
        <v>2.1</v>
      </c>
      <c r="D102">
        <v>112579.602</v>
      </c>
      <c r="E102">
        <v>-1</v>
      </c>
      <c r="F102">
        <v>3740336.94</v>
      </c>
      <c r="G102">
        <v>-4201.6499999999996</v>
      </c>
      <c r="H102">
        <v>-12605.04</v>
      </c>
      <c r="I102">
        <v>3723530.25</v>
      </c>
      <c r="J102">
        <v>68500</v>
      </c>
      <c r="K102">
        <v>0</v>
      </c>
      <c r="L102">
        <v>707470.75</v>
      </c>
      <c r="M102">
        <v>4499501</v>
      </c>
      <c r="N102">
        <v>21009.24</v>
      </c>
      <c r="O102">
        <v>3702521.01</v>
      </c>
      <c r="P102">
        <v>1086636</v>
      </c>
      <c r="Q102">
        <v>2615885.0099999998</v>
      </c>
      <c r="R102">
        <v>0</v>
      </c>
      <c r="S102">
        <v>70</v>
      </c>
      <c r="T102">
        <v>0</v>
      </c>
      <c r="U102">
        <v>0</v>
      </c>
      <c r="V102" s="9">
        <v>46189.853409826392</v>
      </c>
    </row>
    <row r="103" spans="1:22" x14ac:dyDescent="0.2">
      <c r="A103" s="8">
        <v>45910</v>
      </c>
      <c r="B103">
        <v>15</v>
      </c>
      <c r="C103">
        <v>2.2999999999999998</v>
      </c>
      <c r="D103">
        <v>136966.386</v>
      </c>
      <c r="E103">
        <v>0</v>
      </c>
      <c r="F103">
        <v>2155336.14</v>
      </c>
      <c r="G103">
        <v>0</v>
      </c>
      <c r="H103">
        <v>0</v>
      </c>
      <c r="I103">
        <v>2155336.14</v>
      </c>
      <c r="J103">
        <v>23500</v>
      </c>
      <c r="K103">
        <v>0</v>
      </c>
      <c r="L103">
        <v>387663.86</v>
      </c>
      <c r="M103">
        <v>2566500</v>
      </c>
      <c r="N103">
        <v>0</v>
      </c>
      <c r="O103">
        <v>2155336.14</v>
      </c>
      <c r="P103">
        <v>605989</v>
      </c>
      <c r="Q103">
        <v>1549347.14</v>
      </c>
      <c r="R103">
        <v>70000</v>
      </c>
      <c r="S103">
        <v>36</v>
      </c>
      <c r="T103">
        <v>0</v>
      </c>
      <c r="U103">
        <v>70000</v>
      </c>
      <c r="V103" s="9">
        <v>46189.853409826392</v>
      </c>
    </row>
    <row r="104" spans="1:22" x14ac:dyDescent="0.2">
      <c r="A104" s="8">
        <v>45911</v>
      </c>
      <c r="B104">
        <v>46</v>
      </c>
      <c r="C104">
        <v>1.8</v>
      </c>
      <c r="D104">
        <v>111929.30100000001</v>
      </c>
      <c r="E104">
        <v>-2</v>
      </c>
      <c r="F104">
        <v>5276899.1500000004</v>
      </c>
      <c r="G104">
        <v>-18907.560000000001</v>
      </c>
      <c r="H104">
        <v>-117647.05</v>
      </c>
      <c r="I104">
        <v>5140344.54</v>
      </c>
      <c r="J104">
        <v>68500</v>
      </c>
      <c r="K104">
        <v>0</v>
      </c>
      <c r="L104">
        <v>971155.46</v>
      </c>
      <c r="M104">
        <v>6180000</v>
      </c>
      <c r="N104">
        <v>0</v>
      </c>
      <c r="O104">
        <v>5140344.54</v>
      </c>
      <c r="P104">
        <v>1414721.12</v>
      </c>
      <c r="Q104">
        <v>3725623.42</v>
      </c>
      <c r="R104">
        <v>0</v>
      </c>
      <c r="S104">
        <v>83</v>
      </c>
      <c r="T104">
        <v>0</v>
      </c>
      <c r="U104">
        <v>0</v>
      </c>
      <c r="V104" s="9">
        <v>46189.853409826392</v>
      </c>
    </row>
    <row r="105" spans="1:22" x14ac:dyDescent="0.2">
      <c r="A105" s="8">
        <v>45912</v>
      </c>
      <c r="B105">
        <v>57</v>
      </c>
      <c r="C105">
        <v>1.6</v>
      </c>
      <c r="D105">
        <v>101456.435</v>
      </c>
      <c r="E105">
        <v>0</v>
      </c>
      <c r="F105">
        <v>5783016.8399999999</v>
      </c>
      <c r="G105">
        <v>0</v>
      </c>
      <c r="H105">
        <v>0</v>
      </c>
      <c r="I105">
        <v>5783016.8399999999</v>
      </c>
      <c r="J105">
        <v>59500</v>
      </c>
      <c r="K105">
        <v>0</v>
      </c>
      <c r="L105">
        <v>1052983.1599999999</v>
      </c>
      <c r="M105">
        <v>6895500</v>
      </c>
      <c r="N105">
        <v>78000</v>
      </c>
      <c r="O105">
        <v>5705016.8399999999</v>
      </c>
      <c r="P105">
        <v>1767129</v>
      </c>
      <c r="Q105">
        <v>3937887.84</v>
      </c>
      <c r="R105">
        <v>0</v>
      </c>
      <c r="S105">
        <v>94</v>
      </c>
      <c r="T105">
        <v>0</v>
      </c>
      <c r="U105">
        <v>0</v>
      </c>
      <c r="V105" s="9">
        <v>46189.853409826392</v>
      </c>
    </row>
    <row r="106" spans="1:22" x14ac:dyDescent="0.2">
      <c r="A106" s="8">
        <v>45913</v>
      </c>
      <c r="B106">
        <v>86</v>
      </c>
      <c r="C106">
        <v>1.8</v>
      </c>
      <c r="D106">
        <v>92255.619000000006</v>
      </c>
      <c r="E106">
        <v>-9</v>
      </c>
      <c r="F106">
        <v>8086084.0899999999</v>
      </c>
      <c r="G106">
        <v>-4201.68</v>
      </c>
      <c r="H106">
        <v>-185462.18</v>
      </c>
      <c r="I106">
        <v>7896420.2300000004</v>
      </c>
      <c r="J106">
        <v>111000</v>
      </c>
      <c r="K106">
        <v>0</v>
      </c>
      <c r="L106">
        <v>1453579.77</v>
      </c>
      <c r="M106">
        <v>9461000</v>
      </c>
      <c r="N106">
        <v>100000</v>
      </c>
      <c r="O106">
        <v>7796420.2300000004</v>
      </c>
      <c r="P106">
        <v>2276328</v>
      </c>
      <c r="Q106">
        <v>5520092.2300000004</v>
      </c>
      <c r="R106">
        <v>0</v>
      </c>
      <c r="S106">
        <v>148</v>
      </c>
      <c r="T106">
        <v>0</v>
      </c>
      <c r="U106">
        <v>0</v>
      </c>
      <c r="V106" s="9">
        <v>46189.853409826392</v>
      </c>
    </row>
    <row r="107" spans="1:22" x14ac:dyDescent="0.2">
      <c r="A107" s="8">
        <v>45914</v>
      </c>
      <c r="B107">
        <v>78</v>
      </c>
      <c r="C107">
        <v>2</v>
      </c>
      <c r="D107">
        <v>106609.567</v>
      </c>
      <c r="E107">
        <v>0</v>
      </c>
      <c r="F107">
        <v>8319747.9800000004</v>
      </c>
      <c r="G107">
        <v>-4201.68</v>
      </c>
      <c r="H107">
        <v>0</v>
      </c>
      <c r="I107">
        <v>8315546.2999999998</v>
      </c>
      <c r="J107">
        <v>56000</v>
      </c>
      <c r="K107">
        <v>0</v>
      </c>
      <c r="L107">
        <v>1579953.7</v>
      </c>
      <c r="M107">
        <v>9951500</v>
      </c>
      <c r="N107">
        <v>15126.06</v>
      </c>
      <c r="O107">
        <v>8300420.2400000002</v>
      </c>
      <c r="P107">
        <v>1995286</v>
      </c>
      <c r="Q107">
        <v>6305134.2400000002</v>
      </c>
      <c r="R107">
        <v>0</v>
      </c>
      <c r="S107">
        <v>155</v>
      </c>
      <c r="T107">
        <v>0</v>
      </c>
      <c r="U107">
        <v>0</v>
      </c>
      <c r="V107" s="9">
        <v>46189.853409826392</v>
      </c>
    </row>
    <row r="108" spans="1:22" x14ac:dyDescent="0.2">
      <c r="A108" s="8">
        <v>45915</v>
      </c>
      <c r="B108">
        <v>12</v>
      </c>
      <c r="C108">
        <v>2</v>
      </c>
      <c r="D108">
        <v>114145.658</v>
      </c>
      <c r="E108">
        <v>-3</v>
      </c>
      <c r="F108">
        <v>1524747.9</v>
      </c>
      <c r="G108">
        <v>-155000</v>
      </c>
      <c r="H108">
        <v>-1554.63</v>
      </c>
      <c r="I108">
        <v>1368193.27</v>
      </c>
      <c r="J108">
        <v>27000</v>
      </c>
      <c r="K108">
        <v>0</v>
      </c>
      <c r="L108">
        <v>243806.73</v>
      </c>
      <c r="M108">
        <v>1639000</v>
      </c>
      <c r="N108">
        <v>68907.55</v>
      </c>
      <c r="O108">
        <v>1214285.72</v>
      </c>
      <c r="P108">
        <v>362489</v>
      </c>
      <c r="Q108">
        <v>851796.72</v>
      </c>
      <c r="R108">
        <v>0</v>
      </c>
      <c r="S108">
        <v>21</v>
      </c>
      <c r="T108">
        <v>0</v>
      </c>
      <c r="U108">
        <v>0</v>
      </c>
      <c r="V108" s="9">
        <v>46189.853409826392</v>
      </c>
    </row>
    <row r="109" spans="1:22" x14ac:dyDescent="0.2">
      <c r="A109" s="8">
        <v>45916</v>
      </c>
      <c r="B109">
        <v>24</v>
      </c>
      <c r="C109">
        <v>2</v>
      </c>
      <c r="D109">
        <v>114033.96400000001</v>
      </c>
      <c r="E109">
        <v>-1</v>
      </c>
      <c r="F109">
        <v>2816647.07</v>
      </c>
      <c r="G109">
        <v>0</v>
      </c>
      <c r="H109">
        <v>-79831.929999999993</v>
      </c>
      <c r="I109">
        <v>2736815.14</v>
      </c>
      <c r="J109">
        <v>128500</v>
      </c>
      <c r="K109">
        <v>0</v>
      </c>
      <c r="L109">
        <v>510684.86</v>
      </c>
      <c r="M109">
        <v>3376000</v>
      </c>
      <c r="N109">
        <v>4621.8500000000004</v>
      </c>
      <c r="O109">
        <v>2732193.29</v>
      </c>
      <c r="P109">
        <v>831684</v>
      </c>
      <c r="Q109">
        <v>1900509.29</v>
      </c>
      <c r="R109">
        <v>0</v>
      </c>
      <c r="S109">
        <v>48</v>
      </c>
      <c r="T109">
        <v>0</v>
      </c>
      <c r="U109">
        <v>0</v>
      </c>
      <c r="V109" s="9">
        <v>46189.853409826392</v>
      </c>
    </row>
    <row r="110" spans="1:22" x14ac:dyDescent="0.2">
      <c r="A110" s="8">
        <v>45917</v>
      </c>
      <c r="B110">
        <v>7</v>
      </c>
      <c r="C110">
        <v>2.9</v>
      </c>
      <c r="D110">
        <v>103481.39200000001</v>
      </c>
      <c r="E110">
        <v>0</v>
      </c>
      <c r="F110">
        <v>1035294.12</v>
      </c>
      <c r="G110">
        <v>0</v>
      </c>
      <c r="H110">
        <v>0</v>
      </c>
      <c r="I110">
        <v>1035294.12</v>
      </c>
      <c r="J110">
        <v>41500</v>
      </c>
      <c r="K110">
        <v>0</v>
      </c>
      <c r="L110">
        <v>196705.88</v>
      </c>
      <c r="M110">
        <v>1273500</v>
      </c>
      <c r="N110">
        <v>0</v>
      </c>
      <c r="O110">
        <v>1035294.12</v>
      </c>
      <c r="P110">
        <v>319680</v>
      </c>
      <c r="Q110">
        <v>715614.12</v>
      </c>
      <c r="R110">
        <v>100000</v>
      </c>
      <c r="S110">
        <v>26</v>
      </c>
      <c r="T110">
        <v>0</v>
      </c>
      <c r="U110">
        <v>100000</v>
      </c>
      <c r="V110" s="9">
        <v>46189.853409826392</v>
      </c>
    </row>
    <row r="111" spans="1:22" x14ac:dyDescent="0.2">
      <c r="A111" s="8">
        <v>45918</v>
      </c>
      <c r="B111">
        <v>20</v>
      </c>
      <c r="C111">
        <v>3</v>
      </c>
      <c r="D111">
        <v>152521.42800000001</v>
      </c>
      <c r="E111">
        <v>0</v>
      </c>
      <c r="F111">
        <v>3159672.26</v>
      </c>
      <c r="G111">
        <v>-25210.080000000002</v>
      </c>
      <c r="H111">
        <v>0</v>
      </c>
      <c r="I111">
        <v>3134462.18</v>
      </c>
      <c r="J111">
        <v>147500</v>
      </c>
      <c r="K111">
        <v>0</v>
      </c>
      <c r="L111">
        <v>590037.81999999995</v>
      </c>
      <c r="M111">
        <v>3872000</v>
      </c>
      <c r="N111">
        <v>277310.92</v>
      </c>
      <c r="O111">
        <v>2857151.26</v>
      </c>
      <c r="P111">
        <v>876654</v>
      </c>
      <c r="Q111">
        <v>1980497.26</v>
      </c>
      <c r="R111">
        <v>0</v>
      </c>
      <c r="S111">
        <v>62</v>
      </c>
      <c r="T111">
        <v>0</v>
      </c>
      <c r="U111">
        <v>0</v>
      </c>
      <c r="V111" s="9">
        <v>46189.853409826392</v>
      </c>
    </row>
    <row r="112" spans="1:22" x14ac:dyDescent="0.2">
      <c r="A112" s="8">
        <v>45919</v>
      </c>
      <c r="B112">
        <v>27</v>
      </c>
      <c r="C112">
        <v>3</v>
      </c>
      <c r="D112">
        <v>162558.356</v>
      </c>
      <c r="E112">
        <v>0</v>
      </c>
      <c r="F112">
        <v>4422268.8899999997</v>
      </c>
      <c r="G112">
        <v>-33193.26</v>
      </c>
      <c r="H112">
        <v>0</v>
      </c>
      <c r="I112">
        <v>4389075.63</v>
      </c>
      <c r="J112">
        <v>262000</v>
      </c>
      <c r="K112">
        <v>0</v>
      </c>
      <c r="L112">
        <v>833924.37</v>
      </c>
      <c r="M112">
        <v>5485000</v>
      </c>
      <c r="N112">
        <v>75630.25</v>
      </c>
      <c r="O112">
        <v>4313445.38</v>
      </c>
      <c r="P112">
        <v>1288865</v>
      </c>
      <c r="Q112">
        <v>3024580.38</v>
      </c>
      <c r="R112">
        <v>100000</v>
      </c>
      <c r="S112">
        <v>80</v>
      </c>
      <c r="T112">
        <v>0</v>
      </c>
      <c r="U112">
        <v>100000</v>
      </c>
      <c r="V112" s="9">
        <v>46189.853409826392</v>
      </c>
    </row>
    <row r="113" spans="1:22" x14ac:dyDescent="0.2">
      <c r="A113" s="8">
        <v>45920</v>
      </c>
      <c r="B113">
        <v>21</v>
      </c>
      <c r="C113">
        <v>3.5</v>
      </c>
      <c r="D113">
        <v>171470.609</v>
      </c>
      <c r="E113">
        <v>0</v>
      </c>
      <c r="F113">
        <v>3667489.37</v>
      </c>
      <c r="G113">
        <v>-66606.570000000007</v>
      </c>
      <c r="H113">
        <v>0</v>
      </c>
      <c r="I113">
        <v>3600882.8</v>
      </c>
      <c r="J113">
        <v>62500</v>
      </c>
      <c r="K113">
        <v>0</v>
      </c>
      <c r="L113">
        <v>609019.19999999995</v>
      </c>
      <c r="M113">
        <v>4272402</v>
      </c>
      <c r="N113">
        <v>76052.42</v>
      </c>
      <c r="O113">
        <v>3524830.38</v>
      </c>
      <c r="P113">
        <v>1322546</v>
      </c>
      <c r="Q113">
        <v>2202284.38</v>
      </c>
      <c r="R113">
        <v>0</v>
      </c>
      <c r="S113">
        <v>74</v>
      </c>
      <c r="T113">
        <v>0</v>
      </c>
      <c r="U113">
        <v>0</v>
      </c>
      <c r="V113" s="9">
        <v>46189.853409826392</v>
      </c>
    </row>
    <row r="114" spans="1:22" x14ac:dyDescent="0.2">
      <c r="A114" s="8">
        <v>45921</v>
      </c>
      <c r="B114">
        <v>15</v>
      </c>
      <c r="C114">
        <v>3.3</v>
      </c>
      <c r="D114">
        <v>118960.784</v>
      </c>
      <c r="E114">
        <v>-2</v>
      </c>
      <c r="F114">
        <v>2023907.57</v>
      </c>
      <c r="G114">
        <v>0</v>
      </c>
      <c r="H114">
        <v>-126050.42</v>
      </c>
      <c r="I114">
        <v>1897857.15</v>
      </c>
      <c r="J114">
        <v>-47000</v>
      </c>
      <c r="K114">
        <v>0</v>
      </c>
      <c r="L114">
        <v>350142.85</v>
      </c>
      <c r="M114">
        <v>2201000</v>
      </c>
      <c r="N114">
        <v>81050.42</v>
      </c>
      <c r="O114">
        <v>1816806.73</v>
      </c>
      <c r="P114">
        <v>640243</v>
      </c>
      <c r="Q114">
        <v>1176563.73</v>
      </c>
      <c r="R114">
        <v>0</v>
      </c>
      <c r="S114">
        <v>51</v>
      </c>
      <c r="T114">
        <v>0</v>
      </c>
      <c r="U114">
        <v>0</v>
      </c>
      <c r="V114" s="9">
        <v>46189.853409826392</v>
      </c>
    </row>
    <row r="115" spans="1:22" x14ac:dyDescent="0.2">
      <c r="A115" s="8">
        <v>45922</v>
      </c>
      <c r="B115">
        <v>17</v>
      </c>
      <c r="C115">
        <v>2.4</v>
      </c>
      <c r="D115">
        <v>153954.522</v>
      </c>
      <c r="E115">
        <v>-2</v>
      </c>
      <c r="F115">
        <v>2802100.8</v>
      </c>
      <c r="G115">
        <v>-50420.13</v>
      </c>
      <c r="H115">
        <v>-142857.14000000001</v>
      </c>
      <c r="I115">
        <v>2608823.5299999998</v>
      </c>
      <c r="J115">
        <v>80500</v>
      </c>
      <c r="K115">
        <v>0</v>
      </c>
      <c r="L115">
        <v>495676.47</v>
      </c>
      <c r="M115">
        <v>3185000</v>
      </c>
      <c r="N115">
        <v>-71428.570000000007</v>
      </c>
      <c r="O115">
        <v>2680252.1</v>
      </c>
      <c r="P115">
        <v>925066</v>
      </c>
      <c r="Q115">
        <v>1755186.1</v>
      </c>
      <c r="R115">
        <v>0</v>
      </c>
      <c r="S115">
        <v>40</v>
      </c>
      <c r="T115">
        <v>0</v>
      </c>
      <c r="U115">
        <v>0</v>
      </c>
      <c r="V115" s="9">
        <v>46189.853409826392</v>
      </c>
    </row>
    <row r="116" spans="1:22" x14ac:dyDescent="0.2">
      <c r="A116" s="8">
        <v>45923</v>
      </c>
      <c r="B116">
        <v>19</v>
      </c>
      <c r="C116">
        <v>2.2999999999999998</v>
      </c>
      <c r="D116">
        <v>162759.84099999999</v>
      </c>
      <c r="E116">
        <v>-6</v>
      </c>
      <c r="F116">
        <v>3235294.13</v>
      </c>
      <c r="G116">
        <v>0</v>
      </c>
      <c r="H116">
        <v>-656260.5</v>
      </c>
      <c r="I116">
        <v>2579033.63</v>
      </c>
      <c r="J116">
        <v>48000</v>
      </c>
      <c r="K116">
        <v>0</v>
      </c>
      <c r="L116">
        <v>490966.37</v>
      </c>
      <c r="M116">
        <v>3118000</v>
      </c>
      <c r="N116">
        <v>0</v>
      </c>
      <c r="O116">
        <v>2584033.63</v>
      </c>
      <c r="P116">
        <v>804756</v>
      </c>
      <c r="Q116">
        <v>1779277.63</v>
      </c>
      <c r="R116">
        <v>0</v>
      </c>
      <c r="S116">
        <v>38</v>
      </c>
      <c r="T116">
        <v>0</v>
      </c>
      <c r="U116">
        <v>0</v>
      </c>
      <c r="V116" s="9">
        <v>46189.853409826392</v>
      </c>
    </row>
    <row r="117" spans="1:22" x14ac:dyDescent="0.2">
      <c r="A117" s="8">
        <v>45924</v>
      </c>
      <c r="B117">
        <v>18</v>
      </c>
      <c r="C117">
        <v>4.0999999999999996</v>
      </c>
      <c r="D117">
        <v>183580.29800000001</v>
      </c>
      <c r="E117">
        <v>0</v>
      </c>
      <c r="F117">
        <v>3536798.31</v>
      </c>
      <c r="G117">
        <v>-13865.54</v>
      </c>
      <c r="H117">
        <v>0</v>
      </c>
      <c r="I117">
        <v>3522932.77</v>
      </c>
      <c r="J117">
        <v>198000</v>
      </c>
      <c r="K117">
        <v>0</v>
      </c>
      <c r="L117">
        <v>471567.23</v>
      </c>
      <c r="M117">
        <v>4192500</v>
      </c>
      <c r="N117">
        <v>156000</v>
      </c>
      <c r="O117">
        <v>3366932.77</v>
      </c>
      <c r="P117">
        <v>1155047</v>
      </c>
      <c r="Q117">
        <v>2211885.77</v>
      </c>
      <c r="R117">
        <v>0</v>
      </c>
      <c r="S117">
        <v>75</v>
      </c>
      <c r="T117">
        <v>0</v>
      </c>
      <c r="U117">
        <v>0</v>
      </c>
      <c r="V117" s="9">
        <v>46189.853409826392</v>
      </c>
    </row>
    <row r="118" spans="1:22" x14ac:dyDescent="0.2">
      <c r="A118" s="8">
        <v>45925</v>
      </c>
      <c r="B118">
        <v>24</v>
      </c>
      <c r="C118">
        <v>2.2000000000000002</v>
      </c>
      <c r="D118">
        <v>149601.541</v>
      </c>
      <c r="E118">
        <v>-1</v>
      </c>
      <c r="F118">
        <v>3590437</v>
      </c>
      <c r="G118">
        <v>0</v>
      </c>
      <c r="H118">
        <v>-84033.61</v>
      </c>
      <c r="I118">
        <v>3506403.39</v>
      </c>
      <c r="J118">
        <v>27000</v>
      </c>
      <c r="K118">
        <v>0</v>
      </c>
      <c r="L118">
        <v>647596.61</v>
      </c>
      <c r="M118">
        <v>4181000</v>
      </c>
      <c r="N118">
        <v>0</v>
      </c>
      <c r="O118">
        <v>3506403.39</v>
      </c>
      <c r="P118">
        <v>1133878</v>
      </c>
      <c r="Q118">
        <v>2372525.39</v>
      </c>
      <c r="R118">
        <v>0</v>
      </c>
      <c r="S118">
        <v>52</v>
      </c>
      <c r="T118">
        <v>0</v>
      </c>
      <c r="U118">
        <v>0</v>
      </c>
      <c r="V118" s="9">
        <v>46189.853409826392</v>
      </c>
    </row>
    <row r="119" spans="1:22" x14ac:dyDescent="0.2">
      <c r="A119" s="8">
        <v>45926</v>
      </c>
      <c r="B119">
        <v>21</v>
      </c>
      <c r="C119">
        <v>2.2000000000000002</v>
      </c>
      <c r="D119">
        <v>144317.76800000001</v>
      </c>
      <c r="E119">
        <v>-1</v>
      </c>
      <c r="F119">
        <v>3030673.13</v>
      </c>
      <c r="G119">
        <v>0</v>
      </c>
      <c r="H119">
        <v>-218487.39</v>
      </c>
      <c r="I119">
        <v>2812185.74</v>
      </c>
      <c r="J119">
        <v>132500</v>
      </c>
      <c r="K119">
        <v>0</v>
      </c>
      <c r="L119">
        <v>534315.26</v>
      </c>
      <c r="M119">
        <v>3479001</v>
      </c>
      <c r="N119">
        <v>0</v>
      </c>
      <c r="O119">
        <v>2812185.74</v>
      </c>
      <c r="P119">
        <v>796221</v>
      </c>
      <c r="Q119">
        <v>2015964.74</v>
      </c>
      <c r="R119">
        <v>0</v>
      </c>
      <c r="S119">
        <v>45</v>
      </c>
      <c r="T119">
        <v>0</v>
      </c>
      <c r="U119">
        <v>0</v>
      </c>
      <c r="V119" s="9">
        <v>46189.853409826392</v>
      </c>
    </row>
    <row r="120" spans="1:22" x14ac:dyDescent="0.2">
      <c r="A120" s="8">
        <v>45927</v>
      </c>
      <c r="B120">
        <v>30</v>
      </c>
      <c r="C120">
        <v>2.1</v>
      </c>
      <c r="D120">
        <v>142508.96299999999</v>
      </c>
      <c r="E120">
        <v>0</v>
      </c>
      <c r="F120">
        <v>4275268.91</v>
      </c>
      <c r="G120">
        <v>0</v>
      </c>
      <c r="H120">
        <v>0</v>
      </c>
      <c r="I120">
        <v>4275268.91</v>
      </c>
      <c r="J120">
        <v>50500</v>
      </c>
      <c r="K120">
        <v>0</v>
      </c>
      <c r="L120">
        <v>764231.09</v>
      </c>
      <c r="M120">
        <v>5090000</v>
      </c>
      <c r="N120">
        <v>192436.98</v>
      </c>
      <c r="O120">
        <v>4082831.93</v>
      </c>
      <c r="P120">
        <v>1255875</v>
      </c>
      <c r="Q120">
        <v>2826956.93</v>
      </c>
      <c r="R120">
        <v>0</v>
      </c>
      <c r="S120">
        <v>63</v>
      </c>
      <c r="T120">
        <v>0</v>
      </c>
      <c r="U120">
        <v>0</v>
      </c>
      <c r="V120" s="9">
        <v>46189.853409826392</v>
      </c>
    </row>
    <row r="121" spans="1:22" x14ac:dyDescent="0.2">
      <c r="A121" s="8">
        <v>45928</v>
      </c>
      <c r="B121">
        <v>16</v>
      </c>
      <c r="C121">
        <v>2.2000000000000002</v>
      </c>
      <c r="D121">
        <v>137526.261</v>
      </c>
      <c r="E121">
        <v>0</v>
      </c>
      <c r="F121">
        <v>2200420.1800000002</v>
      </c>
      <c r="G121">
        <v>0</v>
      </c>
      <c r="H121">
        <v>0</v>
      </c>
      <c r="I121">
        <v>2200420.1800000002</v>
      </c>
      <c r="J121">
        <v>47000</v>
      </c>
      <c r="K121">
        <v>0</v>
      </c>
      <c r="L121">
        <v>418079.82</v>
      </c>
      <c r="M121">
        <v>2665500</v>
      </c>
      <c r="N121">
        <v>75630.259999999995</v>
      </c>
      <c r="O121">
        <v>2124789.92</v>
      </c>
      <c r="P121">
        <v>601053</v>
      </c>
      <c r="Q121">
        <v>1523736.92</v>
      </c>
      <c r="R121">
        <v>0</v>
      </c>
      <c r="S121">
        <v>36</v>
      </c>
      <c r="T121">
        <v>0</v>
      </c>
      <c r="U121">
        <v>0</v>
      </c>
      <c r="V121" s="9">
        <v>46189.853409826392</v>
      </c>
    </row>
    <row r="122" spans="1:22" x14ac:dyDescent="0.2">
      <c r="A122" s="8">
        <v>45929</v>
      </c>
      <c r="B122">
        <v>20</v>
      </c>
      <c r="C122">
        <v>10.4</v>
      </c>
      <c r="D122">
        <v>528865.54599999997</v>
      </c>
      <c r="E122">
        <v>-307</v>
      </c>
      <c r="F122">
        <v>13594958</v>
      </c>
      <c r="G122">
        <v>-50420.160000000003</v>
      </c>
      <c r="H122">
        <v>-5442437</v>
      </c>
      <c r="I122">
        <v>8102100.8399999999</v>
      </c>
      <c r="J122">
        <v>74000</v>
      </c>
      <c r="K122">
        <v>0</v>
      </c>
      <c r="L122">
        <v>1539399.16</v>
      </c>
      <c r="M122">
        <v>9715500</v>
      </c>
      <c r="N122">
        <v>-7563.03</v>
      </c>
      <c r="O122">
        <v>8109663.8700000001</v>
      </c>
      <c r="P122">
        <v>2275429</v>
      </c>
      <c r="Q122">
        <v>5834234.8700000001</v>
      </c>
      <c r="R122">
        <v>0</v>
      </c>
      <c r="S122">
        <v>69</v>
      </c>
      <c r="T122">
        <v>0</v>
      </c>
      <c r="U122">
        <v>0</v>
      </c>
      <c r="V122" s="9">
        <v>46189.853409826392</v>
      </c>
    </row>
    <row r="123" spans="1:22" x14ac:dyDescent="0.2">
      <c r="A123" s="8">
        <v>45930</v>
      </c>
      <c r="B123">
        <v>21</v>
      </c>
      <c r="C123">
        <v>2.2000000000000002</v>
      </c>
      <c r="D123">
        <v>176950.78</v>
      </c>
      <c r="E123">
        <v>-2</v>
      </c>
      <c r="F123">
        <v>4025630.25</v>
      </c>
      <c r="G123">
        <v>-204033.61</v>
      </c>
      <c r="H123">
        <v>-100840.33</v>
      </c>
      <c r="I123">
        <v>3720756.31</v>
      </c>
      <c r="J123">
        <v>23500</v>
      </c>
      <c r="K123">
        <v>0</v>
      </c>
      <c r="L123">
        <v>701243.69</v>
      </c>
      <c r="M123">
        <v>4445500</v>
      </c>
      <c r="N123">
        <v>126050.42</v>
      </c>
      <c r="O123">
        <v>3594705.89</v>
      </c>
      <c r="P123">
        <v>1104118</v>
      </c>
      <c r="Q123">
        <v>2490587.89</v>
      </c>
      <c r="R123">
        <v>0</v>
      </c>
      <c r="S123">
        <v>47</v>
      </c>
      <c r="T123">
        <v>0</v>
      </c>
      <c r="U123">
        <v>0</v>
      </c>
      <c r="V123" s="9">
        <v>46189.853409826392</v>
      </c>
    </row>
    <row r="124" spans="1:22" x14ac:dyDescent="0.2">
      <c r="A124" s="8">
        <v>45931</v>
      </c>
      <c r="B124">
        <v>20</v>
      </c>
      <c r="C124">
        <v>7</v>
      </c>
      <c r="D124">
        <v>191015.21100000001</v>
      </c>
      <c r="E124">
        <v>-3</v>
      </c>
      <c r="F124">
        <v>4195462.1900000004</v>
      </c>
      <c r="G124">
        <v>-81040.320000000007</v>
      </c>
      <c r="H124">
        <v>-214285.72</v>
      </c>
      <c r="I124">
        <v>3900136.15</v>
      </c>
      <c r="J124">
        <v>175000</v>
      </c>
      <c r="K124">
        <v>0</v>
      </c>
      <c r="L124">
        <v>723925.85</v>
      </c>
      <c r="M124">
        <v>4799062</v>
      </c>
      <c r="N124">
        <v>0</v>
      </c>
      <c r="O124">
        <v>3900136.15</v>
      </c>
      <c r="P124">
        <v>1088932</v>
      </c>
      <c r="Q124">
        <v>2811204.15</v>
      </c>
      <c r="R124">
        <v>100000</v>
      </c>
      <c r="S124">
        <v>143</v>
      </c>
      <c r="T124">
        <v>0</v>
      </c>
      <c r="U124">
        <v>100000</v>
      </c>
      <c r="V124" s="9">
        <v>46189.853409826392</v>
      </c>
    </row>
    <row r="125" spans="1:22" x14ac:dyDescent="0.2">
      <c r="A125" s="8">
        <v>45932</v>
      </c>
      <c r="B125">
        <v>11</v>
      </c>
      <c r="C125">
        <v>1.8</v>
      </c>
      <c r="D125">
        <v>106875.477</v>
      </c>
      <c r="E125">
        <v>0</v>
      </c>
      <c r="F125">
        <v>1175630.25</v>
      </c>
      <c r="G125">
        <v>0</v>
      </c>
      <c r="H125">
        <v>0</v>
      </c>
      <c r="I125">
        <v>1175630.25</v>
      </c>
      <c r="J125">
        <v>0</v>
      </c>
      <c r="K125">
        <v>0</v>
      </c>
      <c r="L125">
        <v>223369.75</v>
      </c>
      <c r="M125">
        <v>1399000</v>
      </c>
      <c r="N125">
        <v>0</v>
      </c>
      <c r="O125">
        <v>1175630.25</v>
      </c>
      <c r="P125">
        <v>314764</v>
      </c>
      <c r="Q125">
        <v>860866.25</v>
      </c>
      <c r="R125">
        <v>0</v>
      </c>
      <c r="S125">
        <v>20</v>
      </c>
      <c r="T125">
        <v>0</v>
      </c>
      <c r="U125">
        <v>0</v>
      </c>
      <c r="V125" s="9">
        <v>46189.853409826392</v>
      </c>
    </row>
    <row r="126" spans="1:22" x14ac:dyDescent="0.2">
      <c r="A126" s="8">
        <v>45933</v>
      </c>
      <c r="B126">
        <v>19</v>
      </c>
      <c r="C126">
        <v>1.8</v>
      </c>
      <c r="D126">
        <v>129588.677</v>
      </c>
      <c r="E126">
        <v>0</v>
      </c>
      <c r="F126">
        <v>2462184.88</v>
      </c>
      <c r="G126">
        <v>0</v>
      </c>
      <c r="H126">
        <v>0</v>
      </c>
      <c r="I126">
        <v>2462184.88</v>
      </c>
      <c r="J126">
        <v>36000</v>
      </c>
      <c r="K126">
        <v>0</v>
      </c>
      <c r="L126">
        <v>467815.12</v>
      </c>
      <c r="M126">
        <v>2966000</v>
      </c>
      <c r="N126">
        <v>159663.87</v>
      </c>
      <c r="O126">
        <v>2302521.0099999998</v>
      </c>
      <c r="P126">
        <v>739085</v>
      </c>
      <c r="Q126">
        <v>1563436.01</v>
      </c>
      <c r="R126">
        <v>0</v>
      </c>
      <c r="S126">
        <v>35</v>
      </c>
      <c r="T126">
        <v>0</v>
      </c>
      <c r="U126">
        <v>0</v>
      </c>
      <c r="V126" s="9">
        <v>46189.853409826392</v>
      </c>
    </row>
    <row r="127" spans="1:22" x14ac:dyDescent="0.2">
      <c r="A127" s="8">
        <v>45934</v>
      </c>
      <c r="B127">
        <v>11</v>
      </c>
      <c r="C127">
        <v>4.4000000000000004</v>
      </c>
      <c r="D127">
        <v>191291.06200000001</v>
      </c>
      <c r="E127">
        <v>-1</v>
      </c>
      <c r="F127">
        <v>2168907.5699999998</v>
      </c>
      <c r="G127">
        <v>0</v>
      </c>
      <c r="H127">
        <v>-18487.39</v>
      </c>
      <c r="I127">
        <v>2150420.1800000002</v>
      </c>
      <c r="J127">
        <v>18000</v>
      </c>
      <c r="K127">
        <v>0</v>
      </c>
      <c r="L127">
        <v>408579.82</v>
      </c>
      <c r="M127">
        <v>2577000</v>
      </c>
      <c r="N127">
        <v>29411.759999999998</v>
      </c>
      <c r="O127">
        <v>2121008.42</v>
      </c>
      <c r="P127">
        <v>573397</v>
      </c>
      <c r="Q127">
        <v>1547611.42</v>
      </c>
      <c r="R127">
        <v>0</v>
      </c>
      <c r="S127">
        <v>49</v>
      </c>
      <c r="T127">
        <v>0</v>
      </c>
      <c r="U127">
        <v>0</v>
      </c>
      <c r="V127" s="9">
        <v>46189.853409826392</v>
      </c>
    </row>
    <row r="128" spans="1:22" x14ac:dyDescent="0.2">
      <c r="A128" s="8">
        <v>45935</v>
      </c>
      <c r="B128">
        <v>14</v>
      </c>
      <c r="C128">
        <v>2</v>
      </c>
      <c r="D128">
        <v>134372.74799999999</v>
      </c>
      <c r="E128">
        <v>0</v>
      </c>
      <c r="F128">
        <v>1881218.48</v>
      </c>
      <c r="G128">
        <v>0</v>
      </c>
      <c r="H128">
        <v>0</v>
      </c>
      <c r="I128">
        <v>1881218.48</v>
      </c>
      <c r="J128">
        <v>119000</v>
      </c>
      <c r="K128">
        <v>0</v>
      </c>
      <c r="L128">
        <v>350781.52</v>
      </c>
      <c r="M128">
        <v>2351000</v>
      </c>
      <c r="N128">
        <v>0</v>
      </c>
      <c r="O128">
        <v>1881218.48</v>
      </c>
      <c r="P128">
        <v>550722</v>
      </c>
      <c r="Q128">
        <v>1330496.48</v>
      </c>
      <c r="R128">
        <v>0</v>
      </c>
      <c r="S128">
        <v>28</v>
      </c>
      <c r="T128">
        <v>0</v>
      </c>
      <c r="U128">
        <v>0</v>
      </c>
      <c r="V128" s="9">
        <v>46189.853409826392</v>
      </c>
    </row>
    <row r="129" spans="1:22" x14ac:dyDescent="0.2">
      <c r="A129" s="8">
        <v>45936</v>
      </c>
      <c r="B129">
        <v>20</v>
      </c>
      <c r="C129">
        <v>10</v>
      </c>
      <c r="D129">
        <v>189726.94</v>
      </c>
      <c r="E129">
        <v>0</v>
      </c>
      <c r="F129">
        <v>4078152.25</v>
      </c>
      <c r="G129">
        <v>-283613.44</v>
      </c>
      <c r="H129">
        <v>0</v>
      </c>
      <c r="I129">
        <v>3794538.81</v>
      </c>
      <c r="J129">
        <v>56000</v>
      </c>
      <c r="K129">
        <v>0</v>
      </c>
      <c r="L129">
        <v>720962.19</v>
      </c>
      <c r="M129">
        <v>4571501</v>
      </c>
      <c r="N129">
        <v>1607143.86</v>
      </c>
      <c r="O129">
        <v>2187394.9500000002</v>
      </c>
      <c r="P129">
        <v>689534</v>
      </c>
      <c r="Q129">
        <v>1497860.95</v>
      </c>
      <c r="R129">
        <v>0</v>
      </c>
      <c r="S129">
        <v>199</v>
      </c>
      <c r="T129">
        <v>0</v>
      </c>
      <c r="U129">
        <v>0</v>
      </c>
      <c r="V129" s="9">
        <v>46189.853409826392</v>
      </c>
    </row>
    <row r="130" spans="1:22" x14ac:dyDescent="0.2">
      <c r="A130" s="8">
        <v>45937</v>
      </c>
      <c r="B130">
        <v>12</v>
      </c>
      <c r="C130">
        <v>2.2999999999999998</v>
      </c>
      <c r="D130">
        <v>116176.47</v>
      </c>
      <c r="E130">
        <v>-1</v>
      </c>
      <c r="F130">
        <v>1550420.17</v>
      </c>
      <c r="G130">
        <v>0</v>
      </c>
      <c r="H130">
        <v>-124369.75</v>
      </c>
      <c r="I130">
        <v>1426050.42</v>
      </c>
      <c r="J130">
        <v>59000</v>
      </c>
      <c r="K130">
        <v>0</v>
      </c>
      <c r="L130">
        <v>270949.58</v>
      </c>
      <c r="M130">
        <v>1756000</v>
      </c>
      <c r="N130">
        <v>0</v>
      </c>
      <c r="O130">
        <v>1426050.42</v>
      </c>
      <c r="P130">
        <v>403217</v>
      </c>
      <c r="Q130">
        <v>1022833.42</v>
      </c>
      <c r="R130">
        <v>0</v>
      </c>
      <c r="S130">
        <v>28</v>
      </c>
      <c r="T130">
        <v>0</v>
      </c>
      <c r="U130">
        <v>0</v>
      </c>
      <c r="V130" s="9">
        <v>46189.853409826392</v>
      </c>
    </row>
    <row r="131" spans="1:22" x14ac:dyDescent="0.2">
      <c r="A131" s="8">
        <v>45938</v>
      </c>
      <c r="B131">
        <v>14</v>
      </c>
      <c r="C131">
        <v>1.8</v>
      </c>
      <c r="D131">
        <v>96221.487999999998</v>
      </c>
      <c r="E131">
        <v>0</v>
      </c>
      <c r="F131">
        <v>1377100.84</v>
      </c>
      <c r="G131">
        <v>0</v>
      </c>
      <c r="H131">
        <v>0</v>
      </c>
      <c r="I131">
        <v>1377100.84</v>
      </c>
      <c r="J131">
        <v>50500</v>
      </c>
      <c r="K131">
        <v>0</v>
      </c>
      <c r="L131">
        <v>247399.16</v>
      </c>
      <c r="M131">
        <v>1675000</v>
      </c>
      <c r="N131">
        <v>0</v>
      </c>
      <c r="O131">
        <v>1377100.84</v>
      </c>
      <c r="P131">
        <v>413793</v>
      </c>
      <c r="Q131">
        <v>963307.84</v>
      </c>
      <c r="R131">
        <v>0</v>
      </c>
      <c r="S131">
        <v>26</v>
      </c>
      <c r="T131">
        <v>0</v>
      </c>
      <c r="U131">
        <v>0</v>
      </c>
      <c r="V131" s="9">
        <v>46189.853409826392</v>
      </c>
    </row>
    <row r="132" spans="1:22" x14ac:dyDescent="0.2">
      <c r="A132" s="8">
        <v>45939</v>
      </c>
      <c r="B132">
        <v>19</v>
      </c>
      <c r="C132">
        <v>2.1</v>
      </c>
      <c r="D132">
        <v>117700.177</v>
      </c>
      <c r="E132">
        <v>0</v>
      </c>
      <c r="F132">
        <v>2236303.37</v>
      </c>
      <c r="G132">
        <v>0</v>
      </c>
      <c r="H132">
        <v>0</v>
      </c>
      <c r="I132">
        <v>2236303.37</v>
      </c>
      <c r="J132">
        <v>33500</v>
      </c>
      <c r="K132">
        <v>0</v>
      </c>
      <c r="L132">
        <v>419197.63</v>
      </c>
      <c r="M132">
        <v>2689001</v>
      </c>
      <c r="N132">
        <v>0.84</v>
      </c>
      <c r="O132">
        <v>2236302.5299999998</v>
      </c>
      <c r="P132">
        <v>678608</v>
      </c>
      <c r="Q132">
        <v>1557694.53</v>
      </c>
      <c r="R132">
        <v>0</v>
      </c>
      <c r="S132">
        <v>40</v>
      </c>
      <c r="T132">
        <v>0</v>
      </c>
      <c r="U132">
        <v>0</v>
      </c>
      <c r="V132" s="9">
        <v>46189.853409826392</v>
      </c>
    </row>
    <row r="133" spans="1:22" x14ac:dyDescent="0.2">
      <c r="A133" s="8">
        <v>45940</v>
      </c>
      <c r="B133">
        <v>17</v>
      </c>
      <c r="C133">
        <v>3.7</v>
      </c>
      <c r="D133">
        <v>239271.87299999999</v>
      </c>
      <c r="E133">
        <v>0</v>
      </c>
      <c r="F133">
        <v>4239050.4000000004</v>
      </c>
      <c r="G133">
        <v>-171428.55</v>
      </c>
      <c r="H133">
        <v>0</v>
      </c>
      <c r="I133">
        <v>4067621.85</v>
      </c>
      <c r="J133">
        <v>38000</v>
      </c>
      <c r="K133">
        <v>0</v>
      </c>
      <c r="L133">
        <v>760878.15</v>
      </c>
      <c r="M133">
        <v>4866500</v>
      </c>
      <c r="N133">
        <v>4621.8500000000004</v>
      </c>
      <c r="O133">
        <v>4063000</v>
      </c>
      <c r="P133">
        <v>1410816</v>
      </c>
      <c r="Q133">
        <v>2652184</v>
      </c>
      <c r="R133">
        <v>0</v>
      </c>
      <c r="S133">
        <v>63</v>
      </c>
      <c r="T133">
        <v>0</v>
      </c>
      <c r="U133">
        <v>0</v>
      </c>
      <c r="V133" s="9">
        <v>46189.853409826392</v>
      </c>
    </row>
    <row r="134" spans="1:22" x14ac:dyDescent="0.2">
      <c r="A134" s="8">
        <v>45941</v>
      </c>
      <c r="B134">
        <v>13</v>
      </c>
      <c r="C134">
        <v>2.2000000000000002</v>
      </c>
      <c r="D134">
        <v>102682.611</v>
      </c>
      <c r="E134">
        <v>0</v>
      </c>
      <c r="F134">
        <v>1334873.95</v>
      </c>
      <c r="G134">
        <v>0</v>
      </c>
      <c r="H134">
        <v>0</v>
      </c>
      <c r="I134">
        <v>1334873.95</v>
      </c>
      <c r="J134">
        <v>9000</v>
      </c>
      <c r="K134">
        <v>0</v>
      </c>
      <c r="L134">
        <v>225126.05</v>
      </c>
      <c r="M134">
        <v>1569000</v>
      </c>
      <c r="N134">
        <v>0</v>
      </c>
      <c r="O134">
        <v>1334873.95</v>
      </c>
      <c r="P134">
        <v>494453</v>
      </c>
      <c r="Q134">
        <v>840420.95</v>
      </c>
      <c r="R134">
        <v>0</v>
      </c>
      <c r="S134">
        <v>29</v>
      </c>
      <c r="T134">
        <v>0</v>
      </c>
      <c r="U134">
        <v>0</v>
      </c>
      <c r="V134" s="9">
        <v>46189.853409826392</v>
      </c>
    </row>
    <row r="135" spans="1:22" x14ac:dyDescent="0.2">
      <c r="A135" s="8">
        <v>45942</v>
      </c>
      <c r="B135">
        <v>22</v>
      </c>
      <c r="C135">
        <v>1.7</v>
      </c>
      <c r="D135">
        <v>125072.238</v>
      </c>
      <c r="E135">
        <v>0</v>
      </c>
      <c r="F135">
        <v>2751589.24</v>
      </c>
      <c r="G135">
        <v>0</v>
      </c>
      <c r="H135">
        <v>0</v>
      </c>
      <c r="I135">
        <v>2751589.24</v>
      </c>
      <c r="J135">
        <v>36000</v>
      </c>
      <c r="K135">
        <v>0</v>
      </c>
      <c r="L135">
        <v>478911.76</v>
      </c>
      <c r="M135">
        <v>3266501</v>
      </c>
      <c r="N135">
        <v>29412.76</v>
      </c>
      <c r="O135">
        <v>2722176.48</v>
      </c>
      <c r="P135">
        <v>982358</v>
      </c>
      <c r="Q135">
        <v>1739818.48</v>
      </c>
      <c r="R135">
        <v>0</v>
      </c>
      <c r="S135">
        <v>37</v>
      </c>
      <c r="T135">
        <v>0</v>
      </c>
      <c r="U135">
        <v>0</v>
      </c>
      <c r="V135" s="9">
        <v>46189.853409826392</v>
      </c>
    </row>
    <row r="136" spans="1:22" x14ac:dyDescent="0.2">
      <c r="A136" s="8">
        <v>45943</v>
      </c>
      <c r="B136">
        <v>9</v>
      </c>
      <c r="C136">
        <v>3.4</v>
      </c>
      <c r="D136">
        <v>175023.34299999999</v>
      </c>
      <c r="E136">
        <v>-1</v>
      </c>
      <c r="F136">
        <v>1646638.66</v>
      </c>
      <c r="G136">
        <v>0</v>
      </c>
      <c r="H136">
        <v>-71428.570000000007</v>
      </c>
      <c r="I136">
        <v>1575210.09</v>
      </c>
      <c r="J136">
        <v>9000</v>
      </c>
      <c r="K136">
        <v>0</v>
      </c>
      <c r="L136">
        <v>299289.90999999997</v>
      </c>
      <c r="M136">
        <v>1883500</v>
      </c>
      <c r="N136">
        <v>197478.99</v>
      </c>
      <c r="O136">
        <v>1377731.1</v>
      </c>
      <c r="P136">
        <v>530380</v>
      </c>
      <c r="Q136">
        <v>847351.1</v>
      </c>
      <c r="R136">
        <v>0</v>
      </c>
      <c r="S136">
        <v>31</v>
      </c>
      <c r="T136">
        <v>0</v>
      </c>
      <c r="U136">
        <v>0</v>
      </c>
      <c r="V136" s="9">
        <v>46189.853409826392</v>
      </c>
    </row>
    <row r="137" spans="1:22" x14ac:dyDescent="0.2">
      <c r="A137" s="8">
        <v>45944</v>
      </c>
      <c r="B137">
        <v>14</v>
      </c>
      <c r="C137">
        <v>2.1</v>
      </c>
      <c r="D137">
        <v>155672.86900000001</v>
      </c>
      <c r="E137">
        <v>0</v>
      </c>
      <c r="F137">
        <v>2179420.17</v>
      </c>
      <c r="G137">
        <v>0</v>
      </c>
      <c r="H137">
        <v>0</v>
      </c>
      <c r="I137">
        <v>2179420.17</v>
      </c>
      <c r="J137">
        <v>23500</v>
      </c>
      <c r="K137">
        <v>0</v>
      </c>
      <c r="L137">
        <v>399079.83</v>
      </c>
      <c r="M137">
        <v>2602000</v>
      </c>
      <c r="N137">
        <v>4621.8500000000004</v>
      </c>
      <c r="O137">
        <v>2174798.3199999998</v>
      </c>
      <c r="P137">
        <v>869809</v>
      </c>
      <c r="Q137">
        <v>1304989.32</v>
      </c>
      <c r="R137">
        <v>0</v>
      </c>
      <c r="S137">
        <v>29</v>
      </c>
      <c r="T137">
        <v>0</v>
      </c>
      <c r="U137">
        <v>0</v>
      </c>
      <c r="V137" s="9">
        <v>46189.853409826392</v>
      </c>
    </row>
    <row r="138" spans="1:22" x14ac:dyDescent="0.2">
      <c r="A138" s="8">
        <v>45945</v>
      </c>
      <c r="B138">
        <v>22</v>
      </c>
      <c r="C138">
        <v>2.2999999999999998</v>
      </c>
      <c r="D138">
        <v>151199.77100000001</v>
      </c>
      <c r="E138">
        <v>0</v>
      </c>
      <c r="F138">
        <v>3375302.52</v>
      </c>
      <c r="G138">
        <v>-18907.55</v>
      </c>
      <c r="H138">
        <v>0</v>
      </c>
      <c r="I138">
        <v>3356394.97</v>
      </c>
      <c r="J138">
        <v>95500</v>
      </c>
      <c r="K138">
        <v>0</v>
      </c>
      <c r="L138">
        <v>596105.03</v>
      </c>
      <c r="M138">
        <v>4048000</v>
      </c>
      <c r="N138">
        <v>478327.73</v>
      </c>
      <c r="O138">
        <v>2878067.24</v>
      </c>
      <c r="P138">
        <v>937734</v>
      </c>
      <c r="Q138">
        <v>1940333.24</v>
      </c>
      <c r="R138">
        <v>200000</v>
      </c>
      <c r="S138">
        <v>52</v>
      </c>
      <c r="T138">
        <v>0</v>
      </c>
      <c r="U138">
        <v>200000</v>
      </c>
      <c r="V138" s="9">
        <v>46189.853409826392</v>
      </c>
    </row>
    <row r="139" spans="1:22" x14ac:dyDescent="0.2">
      <c r="A139" s="8">
        <v>45946</v>
      </c>
      <c r="B139">
        <v>15</v>
      </c>
      <c r="C139">
        <v>5.7</v>
      </c>
      <c r="D139">
        <v>408151.261</v>
      </c>
      <c r="E139">
        <v>0</v>
      </c>
      <c r="F139">
        <v>6617647.04</v>
      </c>
      <c r="G139">
        <v>-495378.12</v>
      </c>
      <c r="H139">
        <v>0</v>
      </c>
      <c r="I139">
        <v>6122268.9199999999</v>
      </c>
      <c r="J139">
        <v>50500</v>
      </c>
      <c r="K139">
        <v>0</v>
      </c>
      <c r="L139">
        <v>1163231.08</v>
      </c>
      <c r="M139">
        <v>7336000</v>
      </c>
      <c r="N139">
        <v>420168.07</v>
      </c>
      <c r="O139">
        <v>5702100.8499999996</v>
      </c>
      <c r="P139">
        <v>1941438</v>
      </c>
      <c r="Q139">
        <v>3760662.85</v>
      </c>
      <c r="R139">
        <v>0</v>
      </c>
      <c r="S139">
        <v>85</v>
      </c>
      <c r="T139">
        <v>0</v>
      </c>
      <c r="U139">
        <v>0</v>
      </c>
      <c r="V139" s="9">
        <v>46189.853409826392</v>
      </c>
    </row>
    <row r="140" spans="1:22" x14ac:dyDescent="0.2">
      <c r="A140" s="8">
        <v>45947</v>
      </c>
      <c r="B140">
        <v>16</v>
      </c>
      <c r="C140">
        <v>2.1</v>
      </c>
      <c r="D140">
        <v>119748.424</v>
      </c>
      <c r="E140">
        <v>-3</v>
      </c>
      <c r="F140">
        <v>1980680.67</v>
      </c>
      <c r="G140">
        <v>-10084.030000000001</v>
      </c>
      <c r="H140">
        <v>-163865.54999999999</v>
      </c>
      <c r="I140">
        <v>1806731.09</v>
      </c>
      <c r="J140">
        <v>50500</v>
      </c>
      <c r="K140">
        <v>0</v>
      </c>
      <c r="L140">
        <v>290268.90999999997</v>
      </c>
      <c r="M140">
        <v>2147500</v>
      </c>
      <c r="N140">
        <v>159000</v>
      </c>
      <c r="O140">
        <v>1647731.09</v>
      </c>
      <c r="P140">
        <v>508152</v>
      </c>
      <c r="Q140">
        <v>1139579.0900000001</v>
      </c>
      <c r="R140">
        <v>0</v>
      </c>
      <c r="S140">
        <v>32</v>
      </c>
      <c r="T140">
        <v>0</v>
      </c>
      <c r="U140">
        <v>0</v>
      </c>
      <c r="V140" s="9">
        <v>46189.853409826392</v>
      </c>
    </row>
    <row r="141" spans="1:22" x14ac:dyDescent="0.2">
      <c r="A141" s="8">
        <v>45948</v>
      </c>
      <c r="B141">
        <v>25</v>
      </c>
      <c r="C141">
        <v>2.6</v>
      </c>
      <c r="D141">
        <v>153676.639</v>
      </c>
      <c r="E141">
        <v>0</v>
      </c>
      <c r="F141">
        <v>3946958</v>
      </c>
      <c r="G141">
        <v>0</v>
      </c>
      <c r="H141">
        <v>0</v>
      </c>
      <c r="I141">
        <v>3946958</v>
      </c>
      <c r="J141">
        <v>14500</v>
      </c>
      <c r="K141">
        <v>0</v>
      </c>
      <c r="L141">
        <v>654542</v>
      </c>
      <c r="M141">
        <v>4616000</v>
      </c>
      <c r="N141">
        <v>232033.61</v>
      </c>
      <c r="O141">
        <v>3714924.39</v>
      </c>
      <c r="P141">
        <v>1164103</v>
      </c>
      <c r="Q141">
        <v>2550821.39</v>
      </c>
      <c r="R141">
        <v>0</v>
      </c>
      <c r="S141">
        <v>68</v>
      </c>
      <c r="T141">
        <v>0</v>
      </c>
      <c r="U141">
        <v>0</v>
      </c>
      <c r="V141" s="9">
        <v>46189.853409826392</v>
      </c>
    </row>
    <row r="142" spans="1:22" x14ac:dyDescent="0.2">
      <c r="A142" s="8">
        <v>45949</v>
      </c>
      <c r="B142">
        <v>13</v>
      </c>
      <c r="C142">
        <v>2</v>
      </c>
      <c r="D142">
        <v>114137.04</v>
      </c>
      <c r="E142">
        <v>0</v>
      </c>
      <c r="F142">
        <v>1489663.88</v>
      </c>
      <c r="G142">
        <v>-5882.35</v>
      </c>
      <c r="H142">
        <v>0</v>
      </c>
      <c r="I142">
        <v>1483781.53</v>
      </c>
      <c r="J142">
        <v>27000</v>
      </c>
      <c r="K142">
        <v>0</v>
      </c>
      <c r="L142">
        <v>276218.46999999997</v>
      </c>
      <c r="M142">
        <v>1787000</v>
      </c>
      <c r="N142">
        <v>0</v>
      </c>
      <c r="O142">
        <v>1483781.53</v>
      </c>
      <c r="P142">
        <v>533526</v>
      </c>
      <c r="Q142">
        <v>950255.53</v>
      </c>
      <c r="R142">
        <v>0</v>
      </c>
      <c r="S142">
        <v>26</v>
      </c>
      <c r="T142">
        <v>0</v>
      </c>
      <c r="U142">
        <v>0</v>
      </c>
      <c r="V142" s="9">
        <v>46189.853409826392</v>
      </c>
    </row>
    <row r="143" spans="1:22" x14ac:dyDescent="0.2">
      <c r="A143" s="8">
        <v>45950</v>
      </c>
      <c r="B143">
        <v>17</v>
      </c>
      <c r="C143">
        <v>2.4</v>
      </c>
      <c r="D143">
        <v>162234.30499999999</v>
      </c>
      <c r="E143">
        <v>-4</v>
      </c>
      <c r="F143">
        <v>2802941.17</v>
      </c>
      <c r="G143">
        <v>-44957.98</v>
      </c>
      <c r="H143">
        <v>-365546.22</v>
      </c>
      <c r="I143">
        <v>2392436.9700000002</v>
      </c>
      <c r="J143">
        <v>50500</v>
      </c>
      <c r="K143">
        <v>0</v>
      </c>
      <c r="L143">
        <v>454563.03</v>
      </c>
      <c r="M143">
        <v>2897500</v>
      </c>
      <c r="N143">
        <v>0</v>
      </c>
      <c r="O143">
        <v>2392436.9700000002</v>
      </c>
      <c r="P143">
        <v>772247</v>
      </c>
      <c r="Q143">
        <v>1620189.97</v>
      </c>
      <c r="R143">
        <v>0</v>
      </c>
      <c r="S143">
        <v>37</v>
      </c>
      <c r="T143">
        <v>0</v>
      </c>
      <c r="U143">
        <v>0</v>
      </c>
      <c r="V143" s="9">
        <v>46189.853409826392</v>
      </c>
    </row>
    <row r="144" spans="1:22" x14ac:dyDescent="0.2">
      <c r="A144" s="8">
        <v>45951</v>
      </c>
      <c r="B144">
        <v>24</v>
      </c>
      <c r="C144">
        <v>10</v>
      </c>
      <c r="D144">
        <v>984026.61</v>
      </c>
      <c r="E144">
        <v>-2</v>
      </c>
      <c r="F144">
        <v>28674621.859999999</v>
      </c>
      <c r="G144">
        <v>-5012605.04</v>
      </c>
      <c r="H144">
        <v>-45378.15</v>
      </c>
      <c r="I144">
        <v>23616638.670000002</v>
      </c>
      <c r="J144">
        <v>88500</v>
      </c>
      <c r="K144">
        <v>0</v>
      </c>
      <c r="L144">
        <v>4487161.33</v>
      </c>
      <c r="M144">
        <v>28192300</v>
      </c>
      <c r="N144">
        <v>45378.16</v>
      </c>
      <c r="O144">
        <v>23571260.510000002</v>
      </c>
      <c r="P144">
        <v>7654561</v>
      </c>
      <c r="Q144">
        <v>15916699.51</v>
      </c>
      <c r="R144">
        <v>0</v>
      </c>
      <c r="S144">
        <v>239</v>
      </c>
      <c r="T144">
        <v>0</v>
      </c>
      <c r="U144">
        <v>0</v>
      </c>
      <c r="V144" s="9">
        <v>46189.853409826392</v>
      </c>
    </row>
    <row r="145" spans="1:22" x14ac:dyDescent="0.2">
      <c r="A145" s="8">
        <v>45952</v>
      </c>
      <c r="B145">
        <v>13</v>
      </c>
      <c r="C145">
        <v>3.5</v>
      </c>
      <c r="D145">
        <v>219457.014</v>
      </c>
      <c r="E145">
        <v>0</v>
      </c>
      <c r="F145">
        <v>2991596.65</v>
      </c>
      <c r="G145">
        <v>-138655.46</v>
      </c>
      <c r="H145">
        <v>0</v>
      </c>
      <c r="I145">
        <v>2852941.19</v>
      </c>
      <c r="J145">
        <v>65000</v>
      </c>
      <c r="K145">
        <v>0</v>
      </c>
      <c r="L145">
        <v>542058.81000000006</v>
      </c>
      <c r="M145">
        <v>3460000</v>
      </c>
      <c r="N145">
        <v>29411.759999999998</v>
      </c>
      <c r="O145">
        <v>2823529.43</v>
      </c>
      <c r="P145">
        <v>816675</v>
      </c>
      <c r="Q145">
        <v>2006854.43</v>
      </c>
      <c r="R145">
        <v>0</v>
      </c>
      <c r="S145">
        <v>45</v>
      </c>
      <c r="T145">
        <v>0</v>
      </c>
      <c r="U145">
        <v>0</v>
      </c>
      <c r="V145" s="9">
        <v>46189.853409826392</v>
      </c>
    </row>
    <row r="146" spans="1:22" x14ac:dyDescent="0.2">
      <c r="A146" s="8">
        <v>45953</v>
      </c>
      <c r="B146">
        <v>14</v>
      </c>
      <c r="C146">
        <v>2</v>
      </c>
      <c r="D146">
        <v>93277.312000000005</v>
      </c>
      <c r="E146">
        <v>0</v>
      </c>
      <c r="F146">
        <v>1366386.55</v>
      </c>
      <c r="G146">
        <v>-60504.18</v>
      </c>
      <c r="H146">
        <v>0</v>
      </c>
      <c r="I146">
        <v>1305882.3700000001</v>
      </c>
      <c r="J146">
        <v>32500</v>
      </c>
      <c r="K146">
        <v>0</v>
      </c>
      <c r="L146">
        <v>248117.63</v>
      </c>
      <c r="M146">
        <v>1586500</v>
      </c>
      <c r="N146">
        <v>22689.08</v>
      </c>
      <c r="O146">
        <v>1283193.29</v>
      </c>
      <c r="P146">
        <v>272951</v>
      </c>
      <c r="Q146">
        <v>1010242.29</v>
      </c>
      <c r="R146">
        <v>0</v>
      </c>
      <c r="S146">
        <v>28</v>
      </c>
      <c r="T146">
        <v>0</v>
      </c>
      <c r="U146">
        <v>0</v>
      </c>
      <c r="V146" s="9">
        <v>46189.853409826392</v>
      </c>
    </row>
    <row r="147" spans="1:22" x14ac:dyDescent="0.2">
      <c r="A147" s="8">
        <v>45954</v>
      </c>
      <c r="B147">
        <v>21</v>
      </c>
      <c r="C147">
        <v>1.8</v>
      </c>
      <c r="D147">
        <v>97352.941999999995</v>
      </c>
      <c r="E147">
        <v>0</v>
      </c>
      <c r="F147">
        <v>2044411.79</v>
      </c>
      <c r="G147">
        <v>0</v>
      </c>
      <c r="H147">
        <v>0</v>
      </c>
      <c r="I147">
        <v>2044411.79</v>
      </c>
      <c r="J147">
        <v>48000</v>
      </c>
      <c r="K147">
        <v>0</v>
      </c>
      <c r="L147">
        <v>366588.21</v>
      </c>
      <c r="M147">
        <v>2459000</v>
      </c>
      <c r="N147">
        <v>77689.08</v>
      </c>
      <c r="O147">
        <v>1966722.71</v>
      </c>
      <c r="P147">
        <v>588605</v>
      </c>
      <c r="Q147">
        <v>1378117.71</v>
      </c>
      <c r="R147">
        <v>0</v>
      </c>
      <c r="S147">
        <v>37</v>
      </c>
      <c r="T147">
        <v>0</v>
      </c>
      <c r="U147">
        <v>0</v>
      </c>
      <c r="V147" s="9">
        <v>46189.853409826392</v>
      </c>
    </row>
    <row r="148" spans="1:22" x14ac:dyDescent="0.2">
      <c r="A148" s="8">
        <v>45955</v>
      </c>
      <c r="B148">
        <v>23</v>
      </c>
      <c r="C148">
        <v>11.2</v>
      </c>
      <c r="D148">
        <v>133503.837</v>
      </c>
      <c r="E148">
        <v>0</v>
      </c>
      <c r="F148">
        <v>3831092.45</v>
      </c>
      <c r="G148">
        <v>-760504.19</v>
      </c>
      <c r="H148">
        <v>0</v>
      </c>
      <c r="I148">
        <v>3070588.26</v>
      </c>
      <c r="J148">
        <v>61500</v>
      </c>
      <c r="K148">
        <v>0</v>
      </c>
      <c r="L148">
        <v>583411.74</v>
      </c>
      <c r="M148">
        <v>3715500</v>
      </c>
      <c r="N148">
        <v>81512.61</v>
      </c>
      <c r="O148">
        <v>2989075.65</v>
      </c>
      <c r="P148">
        <v>1088155</v>
      </c>
      <c r="Q148">
        <v>1900920.65</v>
      </c>
      <c r="R148">
        <v>0</v>
      </c>
      <c r="S148">
        <v>258</v>
      </c>
      <c r="T148">
        <v>0</v>
      </c>
      <c r="U148">
        <v>0</v>
      </c>
      <c r="V148" s="9">
        <v>46189.853409826392</v>
      </c>
    </row>
    <row r="149" spans="1:22" x14ac:dyDescent="0.2">
      <c r="A149" s="8">
        <v>45956</v>
      </c>
      <c r="B149">
        <v>13</v>
      </c>
      <c r="C149">
        <v>2.1</v>
      </c>
      <c r="D149">
        <v>144209.43700000001</v>
      </c>
      <c r="E149">
        <v>-2</v>
      </c>
      <c r="F149">
        <v>1975563.03</v>
      </c>
      <c r="G149">
        <v>0</v>
      </c>
      <c r="H149">
        <v>-100840.34</v>
      </c>
      <c r="I149">
        <v>1874722.69</v>
      </c>
      <c r="J149">
        <v>41500</v>
      </c>
      <c r="K149">
        <v>0</v>
      </c>
      <c r="L149">
        <v>314777.31</v>
      </c>
      <c r="M149">
        <v>2231000</v>
      </c>
      <c r="N149">
        <v>22689.08</v>
      </c>
      <c r="O149">
        <v>1852033.61</v>
      </c>
      <c r="P149">
        <v>722460</v>
      </c>
      <c r="Q149">
        <v>1129573.6100000001</v>
      </c>
      <c r="R149">
        <v>0</v>
      </c>
      <c r="S149">
        <v>27</v>
      </c>
      <c r="T149">
        <v>0</v>
      </c>
      <c r="U149">
        <v>0</v>
      </c>
      <c r="V149" s="9">
        <v>46189.853409826392</v>
      </c>
    </row>
    <row r="150" spans="1:22" x14ac:dyDescent="0.2">
      <c r="A150" s="8">
        <v>45957</v>
      </c>
      <c r="B150">
        <v>17</v>
      </c>
      <c r="C150">
        <v>1.9</v>
      </c>
      <c r="D150">
        <v>130708.848</v>
      </c>
      <c r="E150">
        <v>-2</v>
      </c>
      <c r="F150">
        <v>2314873.9500000002</v>
      </c>
      <c r="G150">
        <v>-34000</v>
      </c>
      <c r="H150">
        <v>-66386.559999999998</v>
      </c>
      <c r="I150">
        <v>2214487.39</v>
      </c>
      <c r="J150">
        <v>245500</v>
      </c>
      <c r="K150">
        <v>0</v>
      </c>
      <c r="L150">
        <v>345512.61</v>
      </c>
      <c r="M150">
        <v>2805500</v>
      </c>
      <c r="N150">
        <v>22689.08</v>
      </c>
      <c r="O150">
        <v>2191798.31</v>
      </c>
      <c r="P150">
        <v>652067</v>
      </c>
      <c r="Q150">
        <v>1539731.31</v>
      </c>
      <c r="R150">
        <v>0</v>
      </c>
      <c r="S150">
        <v>32</v>
      </c>
      <c r="T150">
        <v>0</v>
      </c>
      <c r="U150">
        <v>0</v>
      </c>
      <c r="V150" s="9">
        <v>46189.853409826392</v>
      </c>
    </row>
    <row r="151" spans="1:22" x14ac:dyDescent="0.2">
      <c r="A151" s="8">
        <v>45958</v>
      </c>
      <c r="B151">
        <v>17</v>
      </c>
      <c r="C151">
        <v>4.4000000000000004</v>
      </c>
      <c r="D151">
        <v>219523.481</v>
      </c>
      <c r="E151">
        <v>0</v>
      </c>
      <c r="F151">
        <v>3897697.45</v>
      </c>
      <c r="G151">
        <v>-165798.26999999999</v>
      </c>
      <c r="H151">
        <v>0</v>
      </c>
      <c r="I151">
        <v>3731899.18</v>
      </c>
      <c r="J151">
        <v>68500</v>
      </c>
      <c r="K151">
        <v>0</v>
      </c>
      <c r="L151">
        <v>670300.81999999995</v>
      </c>
      <c r="M151">
        <v>4470700</v>
      </c>
      <c r="N151">
        <v>436106.37</v>
      </c>
      <c r="O151">
        <v>3295792.81</v>
      </c>
      <c r="P151">
        <v>1007602</v>
      </c>
      <c r="Q151">
        <v>2288190.81</v>
      </c>
      <c r="R151">
        <v>0</v>
      </c>
      <c r="S151">
        <v>74</v>
      </c>
      <c r="T151">
        <v>0</v>
      </c>
      <c r="U151">
        <v>0</v>
      </c>
      <c r="V151" s="9">
        <v>46189.853409826392</v>
      </c>
    </row>
    <row r="152" spans="1:22" x14ac:dyDescent="0.2">
      <c r="A152" s="8">
        <v>45959</v>
      </c>
      <c r="B152">
        <v>21</v>
      </c>
      <c r="C152">
        <v>13.1</v>
      </c>
      <c r="D152">
        <v>308849.94</v>
      </c>
      <c r="E152">
        <v>-10</v>
      </c>
      <c r="F152">
        <v>6508327.7199999997</v>
      </c>
      <c r="G152">
        <v>-22478.98</v>
      </c>
      <c r="H152">
        <v>-483193.28</v>
      </c>
      <c r="I152">
        <v>6002655.46</v>
      </c>
      <c r="J152">
        <v>88500</v>
      </c>
      <c r="K152">
        <v>0</v>
      </c>
      <c r="L152">
        <v>1104594.54</v>
      </c>
      <c r="M152">
        <v>7195750</v>
      </c>
      <c r="N152">
        <v>181689.08</v>
      </c>
      <c r="O152">
        <v>5820966.3799999999</v>
      </c>
      <c r="P152">
        <v>1673369</v>
      </c>
      <c r="Q152">
        <v>4147597.38</v>
      </c>
      <c r="R152">
        <v>100000</v>
      </c>
      <c r="S152">
        <v>265</v>
      </c>
      <c r="T152">
        <v>0</v>
      </c>
      <c r="U152">
        <v>100000</v>
      </c>
      <c r="V152" s="9">
        <v>46189.853409826392</v>
      </c>
    </row>
    <row r="153" spans="1:22" x14ac:dyDescent="0.2">
      <c r="A153" s="8">
        <v>45960</v>
      </c>
      <c r="B153">
        <v>15</v>
      </c>
      <c r="C153">
        <v>1.9</v>
      </c>
      <c r="D153">
        <v>120992.156</v>
      </c>
      <c r="E153">
        <v>0</v>
      </c>
      <c r="F153">
        <v>1853957.96</v>
      </c>
      <c r="G153">
        <v>-39075.620000000003</v>
      </c>
      <c r="H153">
        <v>0</v>
      </c>
      <c r="I153">
        <v>1814882.34</v>
      </c>
      <c r="J153">
        <v>41500</v>
      </c>
      <c r="K153">
        <v>0</v>
      </c>
      <c r="L153">
        <v>314617.65999999997</v>
      </c>
      <c r="M153">
        <v>2171000</v>
      </c>
      <c r="N153">
        <v>22689.08</v>
      </c>
      <c r="O153">
        <v>1792193.26</v>
      </c>
      <c r="P153">
        <v>608892</v>
      </c>
      <c r="Q153">
        <v>1183301.26</v>
      </c>
      <c r="R153">
        <v>0</v>
      </c>
      <c r="S153">
        <v>28</v>
      </c>
      <c r="T153">
        <v>0</v>
      </c>
      <c r="U153">
        <v>0</v>
      </c>
      <c r="V153" s="9">
        <v>46189.853409826392</v>
      </c>
    </row>
    <row r="154" spans="1:22" x14ac:dyDescent="0.2">
      <c r="A154" s="8">
        <v>45961</v>
      </c>
      <c r="B154">
        <v>16</v>
      </c>
      <c r="C154">
        <v>7.1</v>
      </c>
      <c r="D154">
        <v>244899.15900000001</v>
      </c>
      <c r="E154">
        <v>0</v>
      </c>
      <c r="F154">
        <v>4123008.37</v>
      </c>
      <c r="G154">
        <v>-162605.01</v>
      </c>
      <c r="H154">
        <v>0</v>
      </c>
      <c r="I154">
        <v>3960403.36</v>
      </c>
      <c r="J154">
        <v>56000</v>
      </c>
      <c r="K154">
        <v>0</v>
      </c>
      <c r="L154">
        <v>733096.64</v>
      </c>
      <c r="M154">
        <v>4749500</v>
      </c>
      <c r="N154">
        <v>22689.08</v>
      </c>
      <c r="O154">
        <v>3937714.28</v>
      </c>
      <c r="P154">
        <v>1210749</v>
      </c>
      <c r="Q154">
        <v>2726965.28</v>
      </c>
      <c r="R154">
        <v>0</v>
      </c>
      <c r="S154">
        <v>115</v>
      </c>
      <c r="T154">
        <v>0</v>
      </c>
      <c r="U154">
        <v>0</v>
      </c>
      <c r="V154" s="9">
        <v>46189.853409826392</v>
      </c>
    </row>
    <row r="155" spans="1:22" x14ac:dyDescent="0.2">
      <c r="A155" s="8">
        <v>45962</v>
      </c>
      <c r="B155">
        <v>22</v>
      </c>
      <c r="C155">
        <v>2.7</v>
      </c>
      <c r="D155">
        <v>170187.93</v>
      </c>
      <c r="E155">
        <v>0</v>
      </c>
      <c r="F155">
        <v>4115058.83</v>
      </c>
      <c r="G155">
        <v>0</v>
      </c>
      <c r="H155">
        <v>0</v>
      </c>
      <c r="I155">
        <v>4115058.83</v>
      </c>
      <c r="J155">
        <v>38000</v>
      </c>
      <c r="K155">
        <v>0</v>
      </c>
      <c r="L155">
        <v>749941.17</v>
      </c>
      <c r="M155">
        <v>4903000</v>
      </c>
      <c r="N155">
        <v>78000</v>
      </c>
      <c r="O155">
        <v>4037058.83</v>
      </c>
      <c r="P155">
        <v>1208009</v>
      </c>
      <c r="Q155">
        <v>2829049.83</v>
      </c>
      <c r="R155">
        <v>0</v>
      </c>
      <c r="S155">
        <v>66</v>
      </c>
      <c r="T155">
        <v>0</v>
      </c>
      <c r="U155">
        <v>0</v>
      </c>
      <c r="V155" s="9">
        <v>46189.853409826392</v>
      </c>
    </row>
    <row r="156" spans="1:22" x14ac:dyDescent="0.2">
      <c r="A156" s="8">
        <v>45963</v>
      </c>
      <c r="B156">
        <v>14</v>
      </c>
      <c r="C156">
        <v>3.7</v>
      </c>
      <c r="D156">
        <v>164709.484</v>
      </c>
      <c r="E156">
        <v>0</v>
      </c>
      <c r="F156">
        <v>2415176.48</v>
      </c>
      <c r="G156">
        <v>0</v>
      </c>
      <c r="H156">
        <v>0</v>
      </c>
      <c r="I156">
        <v>2415176.48</v>
      </c>
      <c r="J156">
        <v>83000</v>
      </c>
      <c r="K156">
        <v>0</v>
      </c>
      <c r="L156">
        <v>416323.52</v>
      </c>
      <c r="M156">
        <v>2914500</v>
      </c>
      <c r="N156">
        <v>103621.85</v>
      </c>
      <c r="O156">
        <v>2311554.63</v>
      </c>
      <c r="P156">
        <v>723327</v>
      </c>
      <c r="Q156">
        <v>1588227.63</v>
      </c>
      <c r="R156">
        <v>0</v>
      </c>
      <c r="S156">
        <v>54</v>
      </c>
      <c r="T156">
        <v>0</v>
      </c>
      <c r="U156">
        <v>0</v>
      </c>
      <c r="V156" s="9">
        <v>46189.853409826392</v>
      </c>
    </row>
    <row r="157" spans="1:22" x14ac:dyDescent="0.2">
      <c r="A157" s="8">
        <v>45964</v>
      </c>
      <c r="B157">
        <v>9</v>
      </c>
      <c r="C157">
        <v>2.2000000000000002</v>
      </c>
      <c r="D157">
        <v>187861.905</v>
      </c>
      <c r="E157">
        <v>-12</v>
      </c>
      <c r="F157">
        <v>1840337.11</v>
      </c>
      <c r="G157">
        <v>-128571.56</v>
      </c>
      <c r="H157">
        <v>0</v>
      </c>
      <c r="I157">
        <v>1711765.55</v>
      </c>
      <c r="J157">
        <v>45500</v>
      </c>
      <c r="K157">
        <v>0</v>
      </c>
      <c r="L157">
        <v>325235.3</v>
      </c>
      <c r="M157">
        <v>2082500.85</v>
      </c>
      <c r="N157">
        <v>0.85</v>
      </c>
      <c r="O157">
        <v>1711764.7</v>
      </c>
      <c r="P157">
        <v>444397</v>
      </c>
      <c r="Q157">
        <v>1267367.7</v>
      </c>
      <c r="R157">
        <v>0</v>
      </c>
      <c r="S157">
        <v>9</v>
      </c>
      <c r="T157">
        <v>0</v>
      </c>
      <c r="U157">
        <v>0</v>
      </c>
      <c r="V157" s="9">
        <v>46189.853409826392</v>
      </c>
    </row>
    <row r="158" spans="1:22" x14ac:dyDescent="0.2">
      <c r="A158" s="8">
        <v>45965</v>
      </c>
      <c r="B158">
        <v>15</v>
      </c>
      <c r="C158">
        <v>2.1</v>
      </c>
      <c r="D158">
        <v>202314.28599999999</v>
      </c>
      <c r="E158">
        <v>-2</v>
      </c>
      <c r="F158">
        <v>3114546.22</v>
      </c>
      <c r="G158">
        <v>0</v>
      </c>
      <c r="H158">
        <v>-15126.06</v>
      </c>
      <c r="I158">
        <v>3099420.16</v>
      </c>
      <c r="J158">
        <v>72000</v>
      </c>
      <c r="K158">
        <v>0</v>
      </c>
      <c r="L158">
        <v>579579.84</v>
      </c>
      <c r="M158">
        <v>3751000</v>
      </c>
      <c r="N158">
        <v>50420.160000000003</v>
      </c>
      <c r="O158">
        <v>3049000</v>
      </c>
      <c r="P158">
        <v>1128413</v>
      </c>
      <c r="Q158">
        <v>1920587</v>
      </c>
      <c r="R158">
        <v>0</v>
      </c>
      <c r="S158">
        <v>31</v>
      </c>
      <c r="T158">
        <v>0</v>
      </c>
      <c r="U158">
        <v>0</v>
      </c>
      <c r="V158" s="9">
        <v>46189.853409826392</v>
      </c>
    </row>
    <row r="159" spans="1:22" x14ac:dyDescent="0.2">
      <c r="A159" s="8">
        <v>45966</v>
      </c>
      <c r="B159">
        <v>19</v>
      </c>
      <c r="C159">
        <v>3.6</v>
      </c>
      <c r="D159">
        <v>237167.182</v>
      </c>
      <c r="E159">
        <v>0</v>
      </c>
      <c r="F159">
        <v>5065000</v>
      </c>
      <c r="G159">
        <v>-264705.88</v>
      </c>
      <c r="H159">
        <v>0</v>
      </c>
      <c r="I159">
        <v>4800294.12</v>
      </c>
      <c r="J159">
        <v>101500</v>
      </c>
      <c r="K159">
        <v>0</v>
      </c>
      <c r="L159">
        <v>899705.88</v>
      </c>
      <c r="M159">
        <v>5801500</v>
      </c>
      <c r="N159">
        <v>0</v>
      </c>
      <c r="O159">
        <v>4800294.12</v>
      </c>
      <c r="P159">
        <v>1557637</v>
      </c>
      <c r="Q159">
        <v>3242657.12</v>
      </c>
      <c r="R159">
        <v>0</v>
      </c>
      <c r="S159">
        <v>75</v>
      </c>
      <c r="T159">
        <v>0</v>
      </c>
      <c r="U159">
        <v>0</v>
      </c>
      <c r="V159" s="9">
        <v>46189.853409826392</v>
      </c>
    </row>
    <row r="160" spans="1:22" x14ac:dyDescent="0.2">
      <c r="A160" s="8">
        <v>45967</v>
      </c>
      <c r="B160">
        <v>17</v>
      </c>
      <c r="C160">
        <v>2.6</v>
      </c>
      <c r="D160">
        <v>122355.413</v>
      </c>
      <c r="E160">
        <v>0</v>
      </c>
      <c r="F160">
        <v>2190966.4</v>
      </c>
      <c r="G160">
        <v>0</v>
      </c>
      <c r="H160">
        <v>0</v>
      </c>
      <c r="I160">
        <v>2190966.4</v>
      </c>
      <c r="J160">
        <v>56000</v>
      </c>
      <c r="K160">
        <v>0</v>
      </c>
      <c r="L160">
        <v>402033.6</v>
      </c>
      <c r="M160">
        <v>2649000</v>
      </c>
      <c r="N160">
        <v>75000</v>
      </c>
      <c r="O160">
        <v>2115966.4</v>
      </c>
      <c r="P160">
        <v>634026</v>
      </c>
      <c r="Q160">
        <v>1481940.4</v>
      </c>
      <c r="R160">
        <v>0</v>
      </c>
      <c r="S160">
        <v>47</v>
      </c>
      <c r="T160">
        <v>0</v>
      </c>
      <c r="U160">
        <v>0</v>
      </c>
      <c r="V160" s="9">
        <v>46189.853409826392</v>
      </c>
    </row>
    <row r="161" spans="1:22" x14ac:dyDescent="0.2">
      <c r="A161" s="8">
        <v>45968</v>
      </c>
      <c r="B161">
        <v>23</v>
      </c>
      <c r="C161">
        <v>2.7</v>
      </c>
      <c r="D161">
        <v>167793.204</v>
      </c>
      <c r="E161">
        <v>0</v>
      </c>
      <c r="F161">
        <v>3946638.66</v>
      </c>
      <c r="G161">
        <v>0</v>
      </c>
      <c r="H161">
        <v>0</v>
      </c>
      <c r="I161">
        <v>3946638.66</v>
      </c>
      <c r="J161">
        <v>105000</v>
      </c>
      <c r="K161">
        <v>0</v>
      </c>
      <c r="L161">
        <v>749861.34</v>
      </c>
      <c r="M161">
        <v>4801500</v>
      </c>
      <c r="N161">
        <v>435294.11</v>
      </c>
      <c r="O161">
        <v>3511344.55</v>
      </c>
      <c r="P161">
        <v>1081736</v>
      </c>
      <c r="Q161">
        <v>2429608.5499999998</v>
      </c>
      <c r="R161">
        <v>0</v>
      </c>
      <c r="S161">
        <v>65</v>
      </c>
      <c r="T161">
        <v>0</v>
      </c>
      <c r="U161">
        <v>0</v>
      </c>
      <c r="V161" s="9">
        <v>46189.853409826392</v>
      </c>
    </row>
    <row r="162" spans="1:22" x14ac:dyDescent="0.2">
      <c r="A162" s="8">
        <v>45969</v>
      </c>
      <c r="B162">
        <v>19</v>
      </c>
      <c r="C162">
        <v>4.4000000000000004</v>
      </c>
      <c r="D162">
        <v>353040.69</v>
      </c>
      <c r="E162">
        <v>0</v>
      </c>
      <c r="F162">
        <v>8040924.3600000003</v>
      </c>
      <c r="G162">
        <v>-744327.71</v>
      </c>
      <c r="H162">
        <v>0</v>
      </c>
      <c r="I162">
        <v>7296596.6500000004</v>
      </c>
      <c r="J162">
        <v>18000</v>
      </c>
      <c r="K162">
        <v>0</v>
      </c>
      <c r="L162">
        <v>1380653.35</v>
      </c>
      <c r="M162">
        <v>8695250</v>
      </c>
      <c r="N162">
        <v>50420.17</v>
      </c>
      <c r="O162">
        <v>7246176.4800000004</v>
      </c>
      <c r="P162">
        <v>2300259</v>
      </c>
      <c r="Q162">
        <v>4945917.4800000004</v>
      </c>
      <c r="R162">
        <v>1400000</v>
      </c>
      <c r="S162">
        <v>91</v>
      </c>
      <c r="T162">
        <v>0</v>
      </c>
      <c r="U162">
        <v>1400000</v>
      </c>
      <c r="V162" s="9">
        <v>46189.853409826392</v>
      </c>
    </row>
    <row r="163" spans="1:22" x14ac:dyDescent="0.2">
      <c r="A163" s="8">
        <v>45970</v>
      </c>
      <c r="B163">
        <v>11</v>
      </c>
      <c r="C163">
        <v>4.3</v>
      </c>
      <c r="D163">
        <v>327453.78100000002</v>
      </c>
      <c r="E163">
        <v>-10</v>
      </c>
      <c r="F163">
        <v>3829512.58</v>
      </c>
      <c r="G163">
        <v>-257773.08</v>
      </c>
      <c r="H163">
        <v>-1047109.24</v>
      </c>
      <c r="I163">
        <v>2524630.2599999998</v>
      </c>
      <c r="J163">
        <v>18000</v>
      </c>
      <c r="K163">
        <v>0</v>
      </c>
      <c r="L163">
        <v>460869.74</v>
      </c>
      <c r="M163">
        <v>3003500</v>
      </c>
      <c r="N163">
        <v>121689.08</v>
      </c>
      <c r="O163">
        <v>2402941.1800000002</v>
      </c>
      <c r="P163">
        <v>870633</v>
      </c>
      <c r="Q163">
        <v>1532308.18</v>
      </c>
      <c r="R163">
        <v>0</v>
      </c>
      <c r="S163">
        <v>37</v>
      </c>
      <c r="T163">
        <v>0</v>
      </c>
      <c r="U163">
        <v>0</v>
      </c>
      <c r="V163" s="9">
        <v>46189.853409826392</v>
      </c>
    </row>
    <row r="164" spans="1:22" x14ac:dyDescent="0.2">
      <c r="A164" s="8">
        <v>45971</v>
      </c>
      <c r="B164">
        <v>26</v>
      </c>
      <c r="C164">
        <v>2.9</v>
      </c>
      <c r="D164">
        <v>235447.64</v>
      </c>
      <c r="E164">
        <v>-1</v>
      </c>
      <c r="F164">
        <v>6245378.0899999999</v>
      </c>
      <c r="G164">
        <v>-123739.45</v>
      </c>
      <c r="H164">
        <v>-142857.14000000001</v>
      </c>
      <c r="I164">
        <v>5978781.5</v>
      </c>
      <c r="J164">
        <v>93500</v>
      </c>
      <c r="K164">
        <v>0</v>
      </c>
      <c r="L164">
        <v>1135968.5</v>
      </c>
      <c r="M164">
        <v>7208250</v>
      </c>
      <c r="N164">
        <v>83193.3</v>
      </c>
      <c r="O164">
        <v>5895588.2000000002</v>
      </c>
      <c r="P164">
        <v>1622944</v>
      </c>
      <c r="Q164">
        <v>4272644.2</v>
      </c>
      <c r="R164">
        <v>0</v>
      </c>
      <c r="S164">
        <v>74</v>
      </c>
      <c r="T164">
        <v>0</v>
      </c>
      <c r="U164">
        <v>0</v>
      </c>
      <c r="V164" s="9">
        <v>46189.853409826392</v>
      </c>
    </row>
    <row r="165" spans="1:22" x14ac:dyDescent="0.2">
      <c r="A165" s="8">
        <v>45972</v>
      </c>
      <c r="B165">
        <v>38</v>
      </c>
      <c r="C165">
        <v>3.2</v>
      </c>
      <c r="D165">
        <v>180093.54199999999</v>
      </c>
      <c r="E165">
        <v>-2</v>
      </c>
      <c r="F165">
        <v>7348806.6799999997</v>
      </c>
      <c r="G165">
        <v>-505252.06</v>
      </c>
      <c r="H165">
        <v>-15126.06</v>
      </c>
      <c r="I165">
        <v>6828428.5599999996</v>
      </c>
      <c r="J165">
        <v>132000</v>
      </c>
      <c r="K165">
        <v>0</v>
      </c>
      <c r="L165">
        <v>1272321.44</v>
      </c>
      <c r="M165">
        <v>8232750</v>
      </c>
      <c r="N165">
        <v>325277.31</v>
      </c>
      <c r="O165">
        <v>6503151.25</v>
      </c>
      <c r="P165">
        <v>1893451</v>
      </c>
      <c r="Q165">
        <v>4609700.25</v>
      </c>
      <c r="R165">
        <v>0</v>
      </c>
      <c r="S165">
        <v>118</v>
      </c>
      <c r="T165">
        <v>0</v>
      </c>
      <c r="U165">
        <v>0</v>
      </c>
      <c r="V165" s="9">
        <v>46189.853409826392</v>
      </c>
    </row>
    <row r="166" spans="1:22" x14ac:dyDescent="0.2">
      <c r="A166" s="8">
        <v>45973</v>
      </c>
      <c r="B166">
        <v>18</v>
      </c>
      <c r="C166">
        <v>4.0999999999999996</v>
      </c>
      <c r="D166">
        <v>262605.04100000003</v>
      </c>
      <c r="E166">
        <v>0</v>
      </c>
      <c r="F166">
        <v>5033613.4000000004</v>
      </c>
      <c r="G166">
        <v>-121848.72</v>
      </c>
      <c r="H166">
        <v>0</v>
      </c>
      <c r="I166">
        <v>4911764.68</v>
      </c>
      <c r="J166">
        <v>52500</v>
      </c>
      <c r="K166">
        <v>0</v>
      </c>
      <c r="L166">
        <v>933235.32</v>
      </c>
      <c r="M166">
        <v>5897500</v>
      </c>
      <c r="N166">
        <v>113445.38</v>
      </c>
      <c r="O166">
        <v>4798319.3</v>
      </c>
      <c r="P166">
        <v>1473056</v>
      </c>
      <c r="Q166">
        <v>3325263.3</v>
      </c>
      <c r="R166">
        <v>0</v>
      </c>
      <c r="S166">
        <v>79</v>
      </c>
      <c r="T166">
        <v>0</v>
      </c>
      <c r="U166">
        <v>0</v>
      </c>
      <c r="V166" s="9">
        <v>46189.853409826392</v>
      </c>
    </row>
    <row r="167" spans="1:22" x14ac:dyDescent="0.2">
      <c r="A167" s="8">
        <v>45974</v>
      </c>
      <c r="B167">
        <v>19</v>
      </c>
      <c r="C167">
        <v>3.8</v>
      </c>
      <c r="D167">
        <v>223675.36499999999</v>
      </c>
      <c r="E167">
        <v>-3</v>
      </c>
      <c r="F167">
        <v>4471260.5</v>
      </c>
      <c r="G167">
        <v>-32352.92</v>
      </c>
      <c r="H167">
        <v>-126050.43</v>
      </c>
      <c r="I167">
        <v>4312857.1500000004</v>
      </c>
      <c r="J167">
        <v>50500</v>
      </c>
      <c r="K167">
        <v>0</v>
      </c>
      <c r="L167">
        <v>796642.85</v>
      </c>
      <c r="M167">
        <v>5160000</v>
      </c>
      <c r="N167">
        <v>21008.400000000001</v>
      </c>
      <c r="O167">
        <v>4291848.75</v>
      </c>
      <c r="P167">
        <v>1264911</v>
      </c>
      <c r="Q167">
        <v>3026937.75</v>
      </c>
      <c r="R167">
        <v>0</v>
      </c>
      <c r="S167">
        <v>73</v>
      </c>
      <c r="T167">
        <v>0</v>
      </c>
      <c r="U167">
        <v>0</v>
      </c>
      <c r="V167" s="9">
        <v>46189.853409826392</v>
      </c>
    </row>
    <row r="168" spans="1:22" x14ac:dyDescent="0.2">
      <c r="A168" s="8">
        <v>45975</v>
      </c>
      <c r="B168">
        <v>29</v>
      </c>
      <c r="C168">
        <v>2</v>
      </c>
      <c r="D168">
        <v>124169.515</v>
      </c>
      <c r="E168">
        <v>0</v>
      </c>
      <c r="F168">
        <v>3761840.23</v>
      </c>
      <c r="G168">
        <v>-160924.28</v>
      </c>
      <c r="H168">
        <v>0</v>
      </c>
      <c r="I168">
        <v>3600915.95</v>
      </c>
      <c r="J168">
        <v>45000</v>
      </c>
      <c r="K168">
        <v>0</v>
      </c>
      <c r="L168">
        <v>653584.05000000005</v>
      </c>
      <c r="M168">
        <v>4299500</v>
      </c>
      <c r="N168">
        <v>194117.64</v>
      </c>
      <c r="O168">
        <v>3406798.31</v>
      </c>
      <c r="P168">
        <v>1079905</v>
      </c>
      <c r="Q168">
        <v>2326893.31</v>
      </c>
      <c r="R168">
        <v>0</v>
      </c>
      <c r="S168">
        <v>58</v>
      </c>
      <c r="T168">
        <v>0</v>
      </c>
      <c r="U168">
        <v>0</v>
      </c>
      <c r="V168" s="9">
        <v>46189.853409826392</v>
      </c>
    </row>
    <row r="169" spans="1:22" x14ac:dyDescent="0.2">
      <c r="A169" s="8">
        <v>45976</v>
      </c>
      <c r="B169">
        <v>26</v>
      </c>
      <c r="C169">
        <v>4.8</v>
      </c>
      <c r="D169">
        <v>380184.22700000001</v>
      </c>
      <c r="E169">
        <v>0</v>
      </c>
      <c r="F169">
        <v>10883739.369999999</v>
      </c>
      <c r="G169">
        <v>-971218.36</v>
      </c>
      <c r="H169">
        <v>0</v>
      </c>
      <c r="I169">
        <v>9912521.0099999998</v>
      </c>
      <c r="J169">
        <v>47000</v>
      </c>
      <c r="K169">
        <v>0</v>
      </c>
      <c r="L169">
        <v>1876728.99</v>
      </c>
      <c r="M169">
        <v>11836250</v>
      </c>
      <c r="N169">
        <v>81512.600000000006</v>
      </c>
      <c r="O169">
        <v>9831008.4100000001</v>
      </c>
      <c r="P169">
        <v>3182739</v>
      </c>
      <c r="Q169">
        <v>6648269.4100000001</v>
      </c>
      <c r="R169">
        <v>0</v>
      </c>
      <c r="S169">
        <v>127</v>
      </c>
      <c r="T169">
        <v>0</v>
      </c>
      <c r="U169">
        <v>0</v>
      </c>
      <c r="V169" s="9">
        <v>46189.853409826392</v>
      </c>
    </row>
    <row r="170" spans="1:22" x14ac:dyDescent="0.2">
      <c r="A170" s="8">
        <v>45977</v>
      </c>
      <c r="B170">
        <v>21</v>
      </c>
      <c r="C170">
        <v>1.7</v>
      </c>
      <c r="D170">
        <v>99558.222999999998</v>
      </c>
      <c r="E170">
        <v>0</v>
      </c>
      <c r="F170">
        <v>2116478.98</v>
      </c>
      <c r="G170">
        <v>-25756.28</v>
      </c>
      <c r="H170">
        <v>0</v>
      </c>
      <c r="I170">
        <v>2090722.7</v>
      </c>
      <c r="J170">
        <v>47000</v>
      </c>
      <c r="K170">
        <v>0</v>
      </c>
      <c r="L170">
        <v>355627.3</v>
      </c>
      <c r="M170">
        <v>2493350</v>
      </c>
      <c r="N170">
        <v>198782.95</v>
      </c>
      <c r="O170">
        <v>1891939.75</v>
      </c>
      <c r="P170">
        <v>544596</v>
      </c>
      <c r="Q170">
        <v>1347343.75</v>
      </c>
      <c r="R170">
        <v>0</v>
      </c>
      <c r="S170">
        <v>35</v>
      </c>
      <c r="T170">
        <v>0</v>
      </c>
      <c r="U170">
        <v>0</v>
      </c>
      <c r="V170" s="9">
        <v>46189.853409826392</v>
      </c>
    </row>
    <row r="171" spans="1:22" x14ac:dyDescent="0.2">
      <c r="A171" s="8">
        <v>45978</v>
      </c>
      <c r="B171">
        <v>12</v>
      </c>
      <c r="C171">
        <v>3</v>
      </c>
      <c r="D171">
        <v>164440.476</v>
      </c>
      <c r="E171">
        <v>-5</v>
      </c>
      <c r="F171">
        <v>2208579.8199999998</v>
      </c>
      <c r="G171">
        <v>-35294.1</v>
      </c>
      <c r="H171">
        <v>-153781.53</v>
      </c>
      <c r="I171">
        <v>2019504.19</v>
      </c>
      <c r="J171">
        <v>50500</v>
      </c>
      <c r="K171">
        <v>0</v>
      </c>
      <c r="L171">
        <v>324995.81</v>
      </c>
      <c r="M171">
        <v>2395000</v>
      </c>
      <c r="N171">
        <v>136554.6</v>
      </c>
      <c r="O171">
        <v>1882949.59</v>
      </c>
      <c r="P171">
        <v>630873</v>
      </c>
      <c r="Q171">
        <v>1252076.5900000001</v>
      </c>
      <c r="R171">
        <v>0</v>
      </c>
      <c r="S171">
        <v>35</v>
      </c>
      <c r="T171">
        <v>0</v>
      </c>
      <c r="U171">
        <v>0</v>
      </c>
      <c r="V171" s="9">
        <v>46189.853409826392</v>
      </c>
    </row>
    <row r="172" spans="1:22" x14ac:dyDescent="0.2">
      <c r="A172" s="8">
        <v>45979</v>
      </c>
      <c r="B172">
        <v>24</v>
      </c>
      <c r="C172">
        <v>2.4</v>
      </c>
      <c r="D172">
        <v>168837.88399999999</v>
      </c>
      <c r="E172">
        <v>0</v>
      </c>
      <c r="F172">
        <v>4215554.57</v>
      </c>
      <c r="G172">
        <v>-163445.34</v>
      </c>
      <c r="H172">
        <v>0</v>
      </c>
      <c r="I172">
        <v>4052109.23</v>
      </c>
      <c r="J172">
        <v>65000</v>
      </c>
      <c r="K172">
        <v>0</v>
      </c>
      <c r="L172">
        <v>764390.77</v>
      </c>
      <c r="M172">
        <v>4881500</v>
      </c>
      <c r="N172">
        <v>99159.65</v>
      </c>
      <c r="O172">
        <v>3952949.58</v>
      </c>
      <c r="P172">
        <v>1168210</v>
      </c>
      <c r="Q172">
        <v>2784739.58</v>
      </c>
      <c r="R172">
        <v>0</v>
      </c>
      <c r="S172">
        <v>58</v>
      </c>
      <c r="T172">
        <v>0</v>
      </c>
      <c r="U172">
        <v>0</v>
      </c>
      <c r="V172" s="9">
        <v>46189.853409826392</v>
      </c>
    </row>
    <row r="173" spans="1:22" x14ac:dyDescent="0.2">
      <c r="A173" s="8">
        <v>45980</v>
      </c>
      <c r="B173">
        <v>23</v>
      </c>
      <c r="C173">
        <v>4</v>
      </c>
      <c r="D173">
        <v>245929.85</v>
      </c>
      <c r="E173">
        <v>-3</v>
      </c>
      <c r="F173">
        <v>6011008.21</v>
      </c>
      <c r="G173">
        <v>-354621.65</v>
      </c>
      <c r="H173">
        <v>-25901.3</v>
      </c>
      <c r="I173">
        <v>5630485.2599999998</v>
      </c>
      <c r="J173">
        <v>86500</v>
      </c>
      <c r="K173">
        <v>0</v>
      </c>
      <c r="L173">
        <v>1035592.2</v>
      </c>
      <c r="M173">
        <v>6752577.46</v>
      </c>
      <c r="N173">
        <v>92285.7</v>
      </c>
      <c r="O173">
        <v>5538199.5599999996</v>
      </c>
      <c r="P173">
        <v>1662209</v>
      </c>
      <c r="Q173">
        <v>3875990.56</v>
      </c>
      <c r="R173">
        <v>400000</v>
      </c>
      <c r="S173">
        <v>90</v>
      </c>
      <c r="T173">
        <v>0</v>
      </c>
      <c r="U173">
        <v>400000</v>
      </c>
      <c r="V173" s="9">
        <v>46189.853409826392</v>
      </c>
    </row>
    <row r="174" spans="1:22" x14ac:dyDescent="0.2">
      <c r="A174" s="8">
        <v>45981</v>
      </c>
      <c r="B174">
        <v>43</v>
      </c>
      <c r="C174">
        <v>3.7</v>
      </c>
      <c r="D174">
        <v>212093.024</v>
      </c>
      <c r="E174">
        <v>-10</v>
      </c>
      <c r="F174">
        <v>9380924.3300000001</v>
      </c>
      <c r="G174">
        <v>-260924.29</v>
      </c>
      <c r="H174">
        <v>-51955.68</v>
      </c>
      <c r="I174">
        <v>9068044.3599999994</v>
      </c>
      <c r="J174">
        <v>130000</v>
      </c>
      <c r="K174">
        <v>0</v>
      </c>
      <c r="L174">
        <v>1709628.38</v>
      </c>
      <c r="M174">
        <v>10907672.74</v>
      </c>
      <c r="N174">
        <v>592436.96</v>
      </c>
      <c r="O174">
        <v>8475607.4000000004</v>
      </c>
      <c r="P174">
        <v>2395480</v>
      </c>
      <c r="Q174">
        <v>6080127.4000000004</v>
      </c>
      <c r="R174">
        <v>0</v>
      </c>
      <c r="S174">
        <v>149</v>
      </c>
      <c r="T174">
        <v>0</v>
      </c>
      <c r="U174">
        <v>0</v>
      </c>
      <c r="V174" s="9">
        <v>46189.853409826392</v>
      </c>
    </row>
    <row r="175" spans="1:22" x14ac:dyDescent="0.2">
      <c r="A175" s="8">
        <v>45982</v>
      </c>
      <c r="B175">
        <v>18</v>
      </c>
      <c r="C175">
        <v>3.1</v>
      </c>
      <c r="D175">
        <v>192061.62400000001</v>
      </c>
      <c r="E175">
        <v>0</v>
      </c>
      <c r="F175">
        <v>3552739.44</v>
      </c>
      <c r="G175">
        <v>-95630.2</v>
      </c>
      <c r="H175">
        <v>0</v>
      </c>
      <c r="I175">
        <v>3457109.24</v>
      </c>
      <c r="J175">
        <v>41500</v>
      </c>
      <c r="K175">
        <v>0</v>
      </c>
      <c r="L175">
        <v>637090.76</v>
      </c>
      <c r="M175">
        <v>4135700</v>
      </c>
      <c r="N175">
        <v>133411.76</v>
      </c>
      <c r="O175">
        <v>3323697.48</v>
      </c>
      <c r="P175">
        <v>1060717</v>
      </c>
      <c r="Q175">
        <v>2262980.48</v>
      </c>
      <c r="R175">
        <v>0</v>
      </c>
      <c r="S175">
        <v>56</v>
      </c>
      <c r="T175">
        <v>0</v>
      </c>
      <c r="U175">
        <v>0</v>
      </c>
      <c r="V175" s="9">
        <v>46189.853409826392</v>
      </c>
    </row>
    <row r="176" spans="1:22" x14ac:dyDescent="0.2">
      <c r="A176" s="8">
        <v>45983</v>
      </c>
      <c r="B176">
        <v>28</v>
      </c>
      <c r="C176">
        <v>2.6</v>
      </c>
      <c r="D176">
        <v>141500.90100000001</v>
      </c>
      <c r="E176">
        <v>0</v>
      </c>
      <c r="F176">
        <v>3974630.26</v>
      </c>
      <c r="G176">
        <v>-12605.03</v>
      </c>
      <c r="H176">
        <v>0</v>
      </c>
      <c r="I176">
        <v>3962025.23</v>
      </c>
      <c r="J176">
        <v>242000</v>
      </c>
      <c r="K176">
        <v>0</v>
      </c>
      <c r="L176">
        <v>676974.77</v>
      </c>
      <c r="M176">
        <v>4881000</v>
      </c>
      <c r="N176">
        <v>323529.40999999997</v>
      </c>
      <c r="O176">
        <v>3638495.82</v>
      </c>
      <c r="P176">
        <v>1016434</v>
      </c>
      <c r="Q176">
        <v>2622061.8199999998</v>
      </c>
      <c r="R176">
        <v>0</v>
      </c>
      <c r="S176">
        <v>73</v>
      </c>
      <c r="T176">
        <v>0</v>
      </c>
      <c r="U176">
        <v>0</v>
      </c>
      <c r="V176" s="9">
        <v>46189.853409826392</v>
      </c>
    </row>
    <row r="177" spans="1:22" x14ac:dyDescent="0.2">
      <c r="A177" s="8">
        <v>45984</v>
      </c>
      <c r="B177">
        <v>26</v>
      </c>
      <c r="C177">
        <v>2.7</v>
      </c>
      <c r="D177">
        <v>217576.6</v>
      </c>
      <c r="E177">
        <v>0</v>
      </c>
      <c r="F177">
        <v>6121067.1900000004</v>
      </c>
      <c r="G177">
        <v>-245588.2</v>
      </c>
      <c r="H177">
        <v>0</v>
      </c>
      <c r="I177">
        <v>5875478.9900000002</v>
      </c>
      <c r="J177">
        <v>18000</v>
      </c>
      <c r="K177">
        <v>0</v>
      </c>
      <c r="L177">
        <v>1058771.01</v>
      </c>
      <c r="M177">
        <v>6952250</v>
      </c>
      <c r="N177">
        <v>29411.759999999998</v>
      </c>
      <c r="O177">
        <v>5846067.2300000004</v>
      </c>
      <c r="P177">
        <v>1992328</v>
      </c>
      <c r="Q177">
        <v>3853739.23</v>
      </c>
      <c r="R177">
        <v>0</v>
      </c>
      <c r="S177">
        <v>72</v>
      </c>
      <c r="T177">
        <v>0</v>
      </c>
      <c r="U177">
        <v>0</v>
      </c>
      <c r="V177" s="9">
        <v>46189.853409826392</v>
      </c>
    </row>
    <row r="178" spans="1:22" x14ac:dyDescent="0.2">
      <c r="A178" s="8">
        <v>45985</v>
      </c>
      <c r="B178">
        <v>42</v>
      </c>
      <c r="C178">
        <v>3.6</v>
      </c>
      <c r="D178">
        <v>255534.01300000001</v>
      </c>
      <c r="E178">
        <v>0</v>
      </c>
      <c r="F178">
        <v>11918352.880000001</v>
      </c>
      <c r="G178">
        <v>-1185924.3</v>
      </c>
      <c r="H178">
        <v>0</v>
      </c>
      <c r="I178">
        <v>10732428.58</v>
      </c>
      <c r="J178">
        <v>133501</v>
      </c>
      <c r="K178">
        <v>0</v>
      </c>
      <c r="L178">
        <v>1975321.42</v>
      </c>
      <c r="M178">
        <v>12841251</v>
      </c>
      <c r="N178">
        <v>218487.39</v>
      </c>
      <c r="O178">
        <v>10513941.189999999</v>
      </c>
      <c r="P178">
        <v>3252421</v>
      </c>
      <c r="Q178">
        <v>7261520.1900000004</v>
      </c>
      <c r="R178">
        <v>0</v>
      </c>
      <c r="S178">
        <v>151</v>
      </c>
      <c r="T178">
        <v>0</v>
      </c>
      <c r="U178">
        <v>0</v>
      </c>
      <c r="V178" s="9">
        <v>46189.853409826392</v>
      </c>
    </row>
    <row r="179" spans="1:22" x14ac:dyDescent="0.2">
      <c r="A179" s="8">
        <v>45986</v>
      </c>
      <c r="B179">
        <v>29</v>
      </c>
      <c r="C179">
        <v>4.9000000000000004</v>
      </c>
      <c r="D179">
        <v>345882.64299999998</v>
      </c>
      <c r="E179">
        <v>0</v>
      </c>
      <c r="F179">
        <v>11232403.050000001</v>
      </c>
      <c r="G179">
        <v>-1201806.3999999999</v>
      </c>
      <c r="H179">
        <v>0</v>
      </c>
      <c r="I179">
        <v>10030596.65</v>
      </c>
      <c r="J179">
        <v>81000</v>
      </c>
      <c r="K179">
        <v>0</v>
      </c>
      <c r="L179">
        <v>1895553.35</v>
      </c>
      <c r="M179">
        <v>12007150</v>
      </c>
      <c r="N179">
        <v>54000</v>
      </c>
      <c r="O179">
        <v>9976596.6500000004</v>
      </c>
      <c r="P179">
        <v>3182614</v>
      </c>
      <c r="Q179">
        <v>6793982.6500000004</v>
      </c>
      <c r="R179">
        <v>0</v>
      </c>
      <c r="S179">
        <v>142</v>
      </c>
      <c r="T179">
        <v>0</v>
      </c>
      <c r="U179">
        <v>0</v>
      </c>
      <c r="V179" s="9">
        <v>46189.853409826392</v>
      </c>
    </row>
    <row r="180" spans="1:22" x14ac:dyDescent="0.2">
      <c r="A180" s="8">
        <v>45987</v>
      </c>
      <c r="B180">
        <v>45</v>
      </c>
      <c r="C180">
        <v>4.4000000000000004</v>
      </c>
      <c r="D180">
        <v>205014.005</v>
      </c>
      <c r="E180">
        <v>0</v>
      </c>
      <c r="F180">
        <v>9846638.5999999996</v>
      </c>
      <c r="G180">
        <v>-621008.35</v>
      </c>
      <c r="H180">
        <v>0</v>
      </c>
      <c r="I180">
        <v>9225630.25</v>
      </c>
      <c r="J180">
        <v>83000</v>
      </c>
      <c r="K180">
        <v>0</v>
      </c>
      <c r="L180">
        <v>1752869.75</v>
      </c>
      <c r="M180">
        <v>11061500</v>
      </c>
      <c r="N180">
        <v>654411.76</v>
      </c>
      <c r="O180">
        <v>8571218.4900000002</v>
      </c>
      <c r="P180">
        <v>3017558</v>
      </c>
      <c r="Q180">
        <v>5553660.4900000002</v>
      </c>
      <c r="R180">
        <v>0</v>
      </c>
      <c r="S180">
        <v>198</v>
      </c>
      <c r="T180">
        <v>0</v>
      </c>
      <c r="U180">
        <v>0</v>
      </c>
      <c r="V180" s="9">
        <v>46189.853409826392</v>
      </c>
    </row>
    <row r="181" spans="1:22" x14ac:dyDescent="0.2">
      <c r="A181" s="8">
        <v>45988</v>
      </c>
      <c r="B181">
        <v>35</v>
      </c>
      <c r="C181">
        <v>3.1</v>
      </c>
      <c r="D181">
        <v>157791.14499999999</v>
      </c>
      <c r="E181">
        <v>0</v>
      </c>
      <c r="F181">
        <v>5734454.7999999998</v>
      </c>
      <c r="G181">
        <v>-211764.7</v>
      </c>
      <c r="H181">
        <v>0</v>
      </c>
      <c r="I181">
        <v>5522690.0999999996</v>
      </c>
      <c r="J181">
        <v>59500</v>
      </c>
      <c r="K181">
        <v>0</v>
      </c>
      <c r="L181">
        <v>1049310.8999999999</v>
      </c>
      <c r="M181">
        <v>6631501</v>
      </c>
      <c r="N181">
        <v>1</v>
      </c>
      <c r="O181">
        <v>5522689.0999999996</v>
      </c>
      <c r="P181">
        <v>1846197</v>
      </c>
      <c r="Q181">
        <v>3676492.1</v>
      </c>
      <c r="R181">
        <v>0</v>
      </c>
      <c r="S181">
        <v>107</v>
      </c>
      <c r="T181">
        <v>0</v>
      </c>
      <c r="U181">
        <v>0</v>
      </c>
      <c r="V181" s="9">
        <v>46189.853409826392</v>
      </c>
    </row>
    <row r="182" spans="1:22" x14ac:dyDescent="0.2">
      <c r="A182" s="8">
        <v>45989</v>
      </c>
      <c r="B182">
        <v>48</v>
      </c>
      <c r="C182">
        <v>3.7</v>
      </c>
      <c r="D182">
        <v>234508.402</v>
      </c>
      <c r="E182">
        <v>-1</v>
      </c>
      <c r="F182">
        <v>12248420.02</v>
      </c>
      <c r="G182">
        <v>-487815.01</v>
      </c>
      <c r="H182">
        <v>-100840.34</v>
      </c>
      <c r="I182">
        <v>11659764.67</v>
      </c>
      <c r="J182">
        <v>114000</v>
      </c>
      <c r="K182">
        <v>0</v>
      </c>
      <c r="L182">
        <v>2196735.33</v>
      </c>
      <c r="M182">
        <v>13970500</v>
      </c>
      <c r="N182">
        <v>58823.519999999997</v>
      </c>
      <c r="O182">
        <v>11600941.15</v>
      </c>
      <c r="P182">
        <v>3584031</v>
      </c>
      <c r="Q182">
        <v>8016910.1500000004</v>
      </c>
      <c r="R182">
        <v>0</v>
      </c>
      <c r="S182">
        <v>187</v>
      </c>
      <c r="T182">
        <v>0</v>
      </c>
      <c r="U182">
        <v>0</v>
      </c>
      <c r="V182" s="9">
        <v>46189.853409826392</v>
      </c>
    </row>
    <row r="183" spans="1:22" x14ac:dyDescent="0.2">
      <c r="A183" s="8">
        <v>45990</v>
      </c>
      <c r="B183">
        <v>41</v>
      </c>
      <c r="C183">
        <v>2.5</v>
      </c>
      <c r="D183">
        <v>146525.92800000001</v>
      </c>
      <c r="E183">
        <v>0</v>
      </c>
      <c r="F183">
        <v>6007563.0700000003</v>
      </c>
      <c r="G183">
        <v>0</v>
      </c>
      <c r="H183">
        <v>0</v>
      </c>
      <c r="I183">
        <v>6007563.0700000003</v>
      </c>
      <c r="J183">
        <v>68500</v>
      </c>
      <c r="K183">
        <v>0</v>
      </c>
      <c r="L183">
        <v>1141436.93</v>
      </c>
      <c r="M183">
        <v>7217500</v>
      </c>
      <c r="N183">
        <v>29411.759999999998</v>
      </c>
      <c r="O183">
        <v>5978151.3099999996</v>
      </c>
      <c r="P183">
        <v>1948439</v>
      </c>
      <c r="Q183">
        <v>4029712.31</v>
      </c>
      <c r="R183">
        <v>0</v>
      </c>
      <c r="S183">
        <v>103</v>
      </c>
      <c r="T183">
        <v>0</v>
      </c>
      <c r="U183">
        <v>0</v>
      </c>
      <c r="V183" s="9">
        <v>46189.853409826392</v>
      </c>
    </row>
    <row r="184" spans="1:22" x14ac:dyDescent="0.2">
      <c r="A184" s="8">
        <v>45991</v>
      </c>
      <c r="B184">
        <v>33</v>
      </c>
      <c r="C184">
        <v>2.8</v>
      </c>
      <c r="D184">
        <v>166182.83600000001</v>
      </c>
      <c r="E184">
        <v>0</v>
      </c>
      <c r="F184">
        <v>5568067.2199999997</v>
      </c>
      <c r="G184">
        <v>0</v>
      </c>
      <c r="H184">
        <v>0</v>
      </c>
      <c r="I184">
        <v>5568067.2199999997</v>
      </c>
      <c r="J184">
        <v>110000</v>
      </c>
      <c r="K184">
        <v>0</v>
      </c>
      <c r="L184">
        <v>1057932.78</v>
      </c>
      <c r="M184">
        <v>6736000</v>
      </c>
      <c r="N184">
        <v>319747.90000000002</v>
      </c>
      <c r="O184">
        <v>5248319.32</v>
      </c>
      <c r="P184">
        <v>1403996</v>
      </c>
      <c r="Q184">
        <v>3844323.32</v>
      </c>
      <c r="R184">
        <v>0</v>
      </c>
      <c r="S184">
        <v>96</v>
      </c>
      <c r="T184">
        <v>0</v>
      </c>
      <c r="U184">
        <v>0</v>
      </c>
      <c r="V184" s="9">
        <v>46189.853409826392</v>
      </c>
    </row>
    <row r="185" spans="1:22" x14ac:dyDescent="0.2">
      <c r="A185" s="8">
        <v>45992</v>
      </c>
      <c r="B185">
        <v>33</v>
      </c>
      <c r="C185">
        <v>3.8</v>
      </c>
      <c r="D185">
        <v>273595.62</v>
      </c>
      <c r="E185">
        <v>-4</v>
      </c>
      <c r="F185">
        <v>9477731.0700000003</v>
      </c>
      <c r="G185">
        <v>-365042</v>
      </c>
      <c r="H185">
        <v>-243697.48</v>
      </c>
      <c r="I185">
        <v>8868991.5899999999</v>
      </c>
      <c r="J185">
        <v>113501</v>
      </c>
      <c r="K185">
        <v>0</v>
      </c>
      <c r="L185">
        <v>1647108.41</v>
      </c>
      <c r="M185">
        <v>10629601</v>
      </c>
      <c r="N185">
        <v>113445.38</v>
      </c>
      <c r="O185">
        <v>8755546.2100000009</v>
      </c>
      <c r="P185">
        <v>3048098</v>
      </c>
      <c r="Q185">
        <v>5707448.21</v>
      </c>
      <c r="R185">
        <v>0</v>
      </c>
      <c r="S185">
        <v>130</v>
      </c>
      <c r="T185">
        <v>0</v>
      </c>
      <c r="U185">
        <v>0</v>
      </c>
      <c r="V185" s="9">
        <v>46189.853409826392</v>
      </c>
    </row>
    <row r="186" spans="1:22" x14ac:dyDescent="0.2">
      <c r="A186" s="8">
        <v>45993</v>
      </c>
      <c r="B186">
        <v>46</v>
      </c>
      <c r="C186">
        <v>2.8</v>
      </c>
      <c r="D186">
        <v>160724.516</v>
      </c>
      <c r="E186">
        <v>-1</v>
      </c>
      <c r="F186">
        <v>7509327.75</v>
      </c>
      <c r="G186">
        <v>0</v>
      </c>
      <c r="H186">
        <v>-116000</v>
      </c>
      <c r="I186">
        <v>7393327.75</v>
      </c>
      <c r="J186">
        <v>124500</v>
      </c>
      <c r="K186">
        <v>0</v>
      </c>
      <c r="L186">
        <v>1352672.25</v>
      </c>
      <c r="M186">
        <v>8870500</v>
      </c>
      <c r="N186">
        <v>360058.81</v>
      </c>
      <c r="O186">
        <v>7033268.9400000004</v>
      </c>
      <c r="P186">
        <v>2418958</v>
      </c>
      <c r="Q186">
        <v>4614310.9400000004</v>
      </c>
      <c r="R186">
        <v>0</v>
      </c>
      <c r="S186">
        <v>128</v>
      </c>
      <c r="T186">
        <v>0</v>
      </c>
      <c r="U186">
        <v>0</v>
      </c>
      <c r="V186" s="9">
        <v>46189.853409826392</v>
      </c>
    </row>
    <row r="187" spans="1:22" x14ac:dyDescent="0.2">
      <c r="A187" s="8">
        <v>45994</v>
      </c>
      <c r="B187">
        <v>79</v>
      </c>
      <c r="C187">
        <v>3.6</v>
      </c>
      <c r="D187">
        <v>233183.38399999999</v>
      </c>
      <c r="E187">
        <v>0</v>
      </c>
      <c r="F187">
        <v>18520226.84</v>
      </c>
      <c r="G187">
        <v>-98739.49</v>
      </c>
      <c r="H187">
        <v>0</v>
      </c>
      <c r="I187">
        <v>18421487.350000001</v>
      </c>
      <c r="J187">
        <v>197000</v>
      </c>
      <c r="K187">
        <v>0</v>
      </c>
      <c r="L187">
        <v>3480512.65</v>
      </c>
      <c r="M187">
        <v>22099000</v>
      </c>
      <c r="N187">
        <v>958201.64</v>
      </c>
      <c r="O187">
        <v>17463285.710000001</v>
      </c>
      <c r="P187">
        <v>5416387</v>
      </c>
      <c r="Q187">
        <v>12046898.710000001</v>
      </c>
      <c r="R187">
        <v>0</v>
      </c>
      <c r="S187">
        <v>282</v>
      </c>
      <c r="T187">
        <v>0</v>
      </c>
      <c r="U187">
        <v>0</v>
      </c>
      <c r="V187" s="9">
        <v>46189.853409826392</v>
      </c>
    </row>
    <row r="188" spans="1:22" x14ac:dyDescent="0.2">
      <c r="A188" s="8">
        <v>45995</v>
      </c>
      <c r="B188">
        <v>45</v>
      </c>
      <c r="C188">
        <v>3.9</v>
      </c>
      <c r="D188">
        <v>222651.728</v>
      </c>
      <c r="E188">
        <v>0</v>
      </c>
      <c r="F188">
        <v>10057142.890000001</v>
      </c>
      <c r="G188">
        <v>0</v>
      </c>
      <c r="H188">
        <v>0</v>
      </c>
      <c r="I188">
        <v>10057142.890000001</v>
      </c>
      <c r="J188">
        <v>157000</v>
      </c>
      <c r="K188">
        <v>0</v>
      </c>
      <c r="L188">
        <v>1910857.11</v>
      </c>
      <c r="M188">
        <v>12125000</v>
      </c>
      <c r="N188">
        <v>411764.7</v>
      </c>
      <c r="O188">
        <v>9645378.1899999995</v>
      </c>
      <c r="P188">
        <v>3001977</v>
      </c>
      <c r="Q188">
        <v>6643401.1900000004</v>
      </c>
      <c r="R188">
        <v>0</v>
      </c>
      <c r="S188">
        <v>178</v>
      </c>
      <c r="T188">
        <v>0</v>
      </c>
      <c r="U188">
        <v>0</v>
      </c>
      <c r="V188" s="9">
        <v>46189.853409826392</v>
      </c>
    </row>
    <row r="189" spans="1:22" x14ac:dyDescent="0.2">
      <c r="A189" s="8">
        <v>45996</v>
      </c>
      <c r="B189">
        <v>37</v>
      </c>
      <c r="C189">
        <v>4</v>
      </c>
      <c r="D189">
        <v>190217.15100000001</v>
      </c>
      <c r="E189">
        <v>-1</v>
      </c>
      <c r="F189">
        <v>7080051.4199999999</v>
      </c>
      <c r="G189">
        <v>0</v>
      </c>
      <c r="H189">
        <v>-46218.49</v>
      </c>
      <c r="I189">
        <v>7033832.9299999997</v>
      </c>
      <c r="J189">
        <v>79500</v>
      </c>
      <c r="K189">
        <v>0</v>
      </c>
      <c r="L189">
        <v>1326168.07</v>
      </c>
      <c r="M189">
        <v>8439501</v>
      </c>
      <c r="N189">
        <v>1444757.29</v>
      </c>
      <c r="O189">
        <v>5589075.6399999997</v>
      </c>
      <c r="P189">
        <v>1797622</v>
      </c>
      <c r="Q189">
        <v>3791453.64</v>
      </c>
      <c r="R189">
        <v>0</v>
      </c>
      <c r="S189">
        <v>149</v>
      </c>
      <c r="T189">
        <v>0</v>
      </c>
      <c r="U189">
        <v>0</v>
      </c>
      <c r="V189" s="9">
        <v>46189.853409826392</v>
      </c>
    </row>
    <row r="190" spans="1:22" x14ac:dyDescent="0.2">
      <c r="A190" s="8">
        <v>45997</v>
      </c>
      <c r="B190">
        <v>30</v>
      </c>
      <c r="C190">
        <v>3.1</v>
      </c>
      <c r="D190">
        <v>219159.69699999999</v>
      </c>
      <c r="E190">
        <v>0</v>
      </c>
      <c r="F190">
        <v>6894118.6600000001</v>
      </c>
      <c r="G190">
        <v>0</v>
      </c>
      <c r="H190">
        <v>0</v>
      </c>
      <c r="I190">
        <v>6894118.6600000001</v>
      </c>
      <c r="J190">
        <v>97500</v>
      </c>
      <c r="K190">
        <v>0</v>
      </c>
      <c r="L190">
        <v>1309882.3400000001</v>
      </c>
      <c r="M190">
        <v>8301501</v>
      </c>
      <c r="N190">
        <v>220169.07</v>
      </c>
      <c r="O190">
        <v>6673949.5899999999</v>
      </c>
      <c r="P190">
        <v>1863140</v>
      </c>
      <c r="Q190">
        <v>4810809.59</v>
      </c>
      <c r="R190">
        <v>0</v>
      </c>
      <c r="S190">
        <v>100</v>
      </c>
      <c r="T190">
        <v>0</v>
      </c>
      <c r="U190">
        <v>0</v>
      </c>
      <c r="V190" s="9">
        <v>46189.853409826392</v>
      </c>
    </row>
    <row r="191" spans="1:22" x14ac:dyDescent="0.2">
      <c r="A191" s="8">
        <v>45998</v>
      </c>
      <c r="B191">
        <v>38</v>
      </c>
      <c r="C191">
        <v>3.8</v>
      </c>
      <c r="D191">
        <v>263069.43800000002</v>
      </c>
      <c r="E191">
        <v>-4</v>
      </c>
      <c r="F191">
        <v>10042857.16</v>
      </c>
      <c r="G191">
        <v>0</v>
      </c>
      <c r="H191">
        <v>-142857.15</v>
      </c>
      <c r="I191">
        <v>9900000.0099999998</v>
      </c>
      <c r="J191">
        <v>115500</v>
      </c>
      <c r="K191">
        <v>0</v>
      </c>
      <c r="L191">
        <v>1880999.99</v>
      </c>
      <c r="M191">
        <v>11896500</v>
      </c>
      <c r="N191">
        <v>558823.51</v>
      </c>
      <c r="O191">
        <v>9341176.5</v>
      </c>
      <c r="P191">
        <v>3523832</v>
      </c>
      <c r="Q191">
        <v>5817344.5</v>
      </c>
      <c r="R191">
        <v>0</v>
      </c>
      <c r="S191">
        <v>143</v>
      </c>
      <c r="T191">
        <v>0</v>
      </c>
      <c r="U191">
        <v>0</v>
      </c>
      <c r="V191" s="9">
        <v>46189.853409826392</v>
      </c>
    </row>
    <row r="192" spans="1:22" x14ac:dyDescent="0.2">
      <c r="A192" s="8">
        <v>45999</v>
      </c>
      <c r="B192">
        <v>39</v>
      </c>
      <c r="C192">
        <v>2.9</v>
      </c>
      <c r="D192">
        <v>202639.51699999999</v>
      </c>
      <c r="E192">
        <v>-4</v>
      </c>
      <c r="F192">
        <v>8257142.8499999996</v>
      </c>
      <c r="G192">
        <v>-23109.24</v>
      </c>
      <c r="H192">
        <v>-184873.96</v>
      </c>
      <c r="I192">
        <v>8049159.6500000004</v>
      </c>
      <c r="J192">
        <v>104500</v>
      </c>
      <c r="K192">
        <v>0</v>
      </c>
      <c r="L192">
        <v>1529340.35</v>
      </c>
      <c r="M192">
        <v>9683000</v>
      </c>
      <c r="N192">
        <v>117647.05</v>
      </c>
      <c r="O192">
        <v>7931512.5999999996</v>
      </c>
      <c r="P192">
        <v>2565014</v>
      </c>
      <c r="Q192">
        <v>5366498.5999999996</v>
      </c>
      <c r="R192">
        <v>0</v>
      </c>
      <c r="S192">
        <v>118</v>
      </c>
      <c r="T192">
        <v>0</v>
      </c>
      <c r="U192">
        <v>0</v>
      </c>
      <c r="V192" s="9">
        <v>46189.853409826392</v>
      </c>
    </row>
    <row r="193" spans="1:22" x14ac:dyDescent="0.2">
      <c r="A193" s="8">
        <v>46000</v>
      </c>
      <c r="B193">
        <v>62</v>
      </c>
      <c r="C193">
        <v>2.2000000000000002</v>
      </c>
      <c r="D193">
        <v>154455.94899999999</v>
      </c>
      <c r="E193">
        <v>-1</v>
      </c>
      <c r="F193">
        <v>9706520.9900000002</v>
      </c>
      <c r="G193">
        <v>0</v>
      </c>
      <c r="H193">
        <v>-84033.61</v>
      </c>
      <c r="I193">
        <v>9622487.3800000008</v>
      </c>
      <c r="J193">
        <v>144501</v>
      </c>
      <c r="K193">
        <v>0</v>
      </c>
      <c r="L193">
        <v>1789512.62</v>
      </c>
      <c r="M193">
        <v>11556501</v>
      </c>
      <c r="N193">
        <v>88235.28</v>
      </c>
      <c r="O193">
        <v>9534252.0999999996</v>
      </c>
      <c r="P193">
        <v>3046918</v>
      </c>
      <c r="Q193">
        <v>6487334.0999999996</v>
      </c>
      <c r="R193">
        <v>0</v>
      </c>
      <c r="S193">
        <v>135</v>
      </c>
      <c r="T193">
        <v>0</v>
      </c>
      <c r="U193">
        <v>0</v>
      </c>
      <c r="V193" s="9">
        <v>46189.853409826392</v>
      </c>
    </row>
    <row r="194" spans="1:22" x14ac:dyDescent="0.2">
      <c r="A194" s="8">
        <v>46001</v>
      </c>
      <c r="B194">
        <v>81</v>
      </c>
      <c r="C194">
        <v>2.7</v>
      </c>
      <c r="D194">
        <v>183373.58600000001</v>
      </c>
      <c r="E194">
        <v>-3</v>
      </c>
      <c r="F194">
        <v>14853260.529999999</v>
      </c>
      <c r="G194">
        <v>0</v>
      </c>
      <c r="H194">
        <v>-205882.36</v>
      </c>
      <c r="I194">
        <v>14647378.17</v>
      </c>
      <c r="J194">
        <v>121000</v>
      </c>
      <c r="K194">
        <v>0</v>
      </c>
      <c r="L194">
        <v>2708521.83</v>
      </c>
      <c r="M194">
        <v>17476900</v>
      </c>
      <c r="N194">
        <v>345134.44</v>
      </c>
      <c r="O194">
        <v>14302243.73</v>
      </c>
      <c r="P194">
        <v>4356913</v>
      </c>
      <c r="Q194">
        <v>9945330.7300000004</v>
      </c>
      <c r="R194">
        <v>0</v>
      </c>
      <c r="S194">
        <v>215</v>
      </c>
      <c r="T194">
        <v>0</v>
      </c>
      <c r="U194">
        <v>0</v>
      </c>
      <c r="V194" s="9">
        <v>46189.853409826392</v>
      </c>
    </row>
    <row r="195" spans="1:22" x14ac:dyDescent="0.2">
      <c r="A195" s="8">
        <v>46002</v>
      </c>
      <c r="B195">
        <v>119</v>
      </c>
      <c r="C195">
        <v>2.1</v>
      </c>
      <c r="D195">
        <v>123871.13400000001</v>
      </c>
      <c r="E195">
        <v>-2</v>
      </c>
      <c r="F195">
        <v>14750748.99</v>
      </c>
      <c r="G195">
        <v>0</v>
      </c>
      <c r="H195">
        <v>-18823.53</v>
      </c>
      <c r="I195">
        <v>14731925.460000001</v>
      </c>
      <c r="J195">
        <v>139000</v>
      </c>
      <c r="K195">
        <v>0</v>
      </c>
      <c r="L195">
        <v>2650675.54</v>
      </c>
      <c r="M195">
        <v>17521601</v>
      </c>
      <c r="N195">
        <v>174874.92</v>
      </c>
      <c r="O195">
        <v>14557050.539999999</v>
      </c>
      <c r="P195">
        <v>4427725</v>
      </c>
      <c r="Q195">
        <v>10129325.539999999</v>
      </c>
      <c r="R195">
        <v>0</v>
      </c>
      <c r="S195">
        <v>246</v>
      </c>
      <c r="T195">
        <v>0</v>
      </c>
      <c r="U195">
        <v>0</v>
      </c>
      <c r="V195" s="9">
        <v>46189.853409826392</v>
      </c>
    </row>
    <row r="196" spans="1:22" x14ac:dyDescent="0.2">
      <c r="A196" s="8">
        <v>46003</v>
      </c>
      <c r="B196">
        <v>107</v>
      </c>
      <c r="C196">
        <v>2.7</v>
      </c>
      <c r="D196">
        <v>170833.51300000001</v>
      </c>
      <c r="E196">
        <v>-1</v>
      </c>
      <c r="F196">
        <v>18479185.949999999</v>
      </c>
      <c r="G196">
        <v>-141176.46</v>
      </c>
      <c r="H196">
        <v>-100840.33</v>
      </c>
      <c r="I196">
        <v>18237169.16</v>
      </c>
      <c r="J196">
        <v>79500</v>
      </c>
      <c r="K196">
        <v>0</v>
      </c>
      <c r="L196">
        <v>3423831.84</v>
      </c>
      <c r="M196">
        <v>21740501</v>
      </c>
      <c r="N196">
        <v>286555.59000000003</v>
      </c>
      <c r="O196">
        <v>17950613.57</v>
      </c>
      <c r="P196">
        <v>5673593</v>
      </c>
      <c r="Q196">
        <v>12277020.57</v>
      </c>
      <c r="R196">
        <v>0</v>
      </c>
      <c r="S196">
        <v>294</v>
      </c>
      <c r="T196">
        <v>0</v>
      </c>
      <c r="U196">
        <v>0</v>
      </c>
      <c r="V196" s="9">
        <v>46189.853409826392</v>
      </c>
    </row>
    <row r="197" spans="1:22" x14ac:dyDescent="0.2">
      <c r="A197" s="8">
        <v>46004</v>
      </c>
      <c r="B197">
        <v>141</v>
      </c>
      <c r="C197">
        <v>2.1</v>
      </c>
      <c r="D197">
        <v>128623.29300000001</v>
      </c>
      <c r="E197">
        <v>-1</v>
      </c>
      <c r="F197">
        <v>18146388.600000001</v>
      </c>
      <c r="G197">
        <v>0</v>
      </c>
      <c r="H197">
        <v>-46218.49</v>
      </c>
      <c r="I197">
        <v>18100170.109999999</v>
      </c>
      <c r="J197">
        <v>173500</v>
      </c>
      <c r="K197">
        <v>0</v>
      </c>
      <c r="L197">
        <v>3273731.89</v>
      </c>
      <c r="M197">
        <v>21547402</v>
      </c>
      <c r="N197">
        <v>150758.26999999999</v>
      </c>
      <c r="O197">
        <v>17949411.84</v>
      </c>
      <c r="P197">
        <v>5433650</v>
      </c>
      <c r="Q197">
        <v>12515761.84</v>
      </c>
      <c r="R197">
        <v>0</v>
      </c>
      <c r="S197">
        <v>296</v>
      </c>
      <c r="T197">
        <v>0</v>
      </c>
      <c r="U197">
        <v>0</v>
      </c>
      <c r="V197" s="9">
        <v>46189.853409826392</v>
      </c>
    </row>
    <row r="198" spans="1:22" x14ac:dyDescent="0.2">
      <c r="A198" s="8">
        <v>46005</v>
      </c>
      <c r="B198">
        <v>149</v>
      </c>
      <c r="C198">
        <v>2.2000000000000002</v>
      </c>
      <c r="D198">
        <v>115679.318</v>
      </c>
      <c r="E198">
        <v>-7</v>
      </c>
      <c r="F198">
        <v>17236218.52</v>
      </c>
      <c r="G198">
        <v>0</v>
      </c>
      <c r="H198">
        <v>-52941.17</v>
      </c>
      <c r="I198">
        <v>17183277.350000001</v>
      </c>
      <c r="J198">
        <v>182000</v>
      </c>
      <c r="K198">
        <v>0</v>
      </c>
      <c r="L198">
        <v>3209722.65</v>
      </c>
      <c r="M198">
        <v>20575000</v>
      </c>
      <c r="N198">
        <v>280252.08</v>
      </c>
      <c r="O198">
        <v>16903025.27</v>
      </c>
      <c r="P198">
        <v>4992943</v>
      </c>
      <c r="Q198">
        <v>11910082.27</v>
      </c>
      <c r="R198">
        <v>0</v>
      </c>
      <c r="S198">
        <v>322</v>
      </c>
      <c r="T198">
        <v>0</v>
      </c>
      <c r="U198">
        <v>0</v>
      </c>
      <c r="V198" s="9">
        <v>46189.853409826392</v>
      </c>
    </row>
    <row r="199" spans="1:22" x14ac:dyDescent="0.2">
      <c r="A199" s="8">
        <v>46006</v>
      </c>
      <c r="B199">
        <v>53</v>
      </c>
      <c r="C199">
        <v>2.8</v>
      </c>
      <c r="D199">
        <v>153705.88200000001</v>
      </c>
      <c r="E199">
        <v>-4</v>
      </c>
      <c r="F199">
        <v>8196831.9299999997</v>
      </c>
      <c r="G199">
        <v>-50420.14</v>
      </c>
      <c r="H199">
        <v>-30252.09</v>
      </c>
      <c r="I199">
        <v>8116159.7000000002</v>
      </c>
      <c r="J199">
        <v>77500</v>
      </c>
      <c r="K199">
        <v>0</v>
      </c>
      <c r="L199">
        <v>1510340.3</v>
      </c>
      <c r="M199">
        <v>9704000</v>
      </c>
      <c r="N199">
        <v>98159.67</v>
      </c>
      <c r="O199">
        <v>8018000.0300000003</v>
      </c>
      <c r="P199">
        <v>2429876</v>
      </c>
      <c r="Q199">
        <v>5588124.0300000003</v>
      </c>
      <c r="R199">
        <v>500000</v>
      </c>
      <c r="S199">
        <v>142</v>
      </c>
      <c r="T199">
        <v>0</v>
      </c>
      <c r="U199">
        <v>500000</v>
      </c>
      <c r="V199" s="9">
        <v>46189.853409826392</v>
      </c>
    </row>
    <row r="200" spans="1:22" x14ac:dyDescent="0.2">
      <c r="A200" s="8">
        <v>46007</v>
      </c>
      <c r="B200">
        <v>50</v>
      </c>
      <c r="C200">
        <v>2.5</v>
      </c>
      <c r="D200">
        <v>161950.42000000001</v>
      </c>
      <c r="E200">
        <v>-20</v>
      </c>
      <c r="F200">
        <v>8311806.7199999997</v>
      </c>
      <c r="G200">
        <v>0</v>
      </c>
      <c r="H200">
        <v>-509999.95</v>
      </c>
      <c r="I200">
        <v>7801806.7699999996</v>
      </c>
      <c r="J200">
        <v>546500</v>
      </c>
      <c r="K200">
        <v>0</v>
      </c>
      <c r="L200">
        <v>1255293.23</v>
      </c>
      <c r="M200">
        <v>9603600</v>
      </c>
      <c r="N200">
        <v>165210.13</v>
      </c>
      <c r="O200">
        <v>7636596.6399999997</v>
      </c>
      <c r="P200">
        <v>2285564</v>
      </c>
      <c r="Q200">
        <v>5351032.6399999997</v>
      </c>
      <c r="R200">
        <v>0</v>
      </c>
      <c r="S200">
        <v>110</v>
      </c>
      <c r="T200">
        <v>0</v>
      </c>
      <c r="U200">
        <v>0</v>
      </c>
      <c r="V200" s="9">
        <v>46189.853409826392</v>
      </c>
    </row>
    <row r="201" spans="1:22" x14ac:dyDescent="0.2">
      <c r="A201" s="8">
        <v>46008</v>
      </c>
      <c r="B201">
        <v>53</v>
      </c>
      <c r="C201">
        <v>3.1</v>
      </c>
      <c r="D201">
        <v>184430.94899999999</v>
      </c>
      <c r="E201">
        <v>-13</v>
      </c>
      <c r="F201">
        <v>10258293.970000001</v>
      </c>
      <c r="G201">
        <v>-157562.88</v>
      </c>
      <c r="H201">
        <v>-389756.27</v>
      </c>
      <c r="I201">
        <v>9710974.8200000003</v>
      </c>
      <c r="J201">
        <v>177000</v>
      </c>
      <c r="K201">
        <v>0</v>
      </c>
      <c r="L201">
        <v>1793025.18</v>
      </c>
      <c r="M201">
        <v>11681000</v>
      </c>
      <c r="N201">
        <v>502680.69</v>
      </c>
      <c r="O201">
        <v>9208294.1300000008</v>
      </c>
      <c r="P201">
        <v>2955718</v>
      </c>
      <c r="Q201">
        <v>6252576.1299999999</v>
      </c>
      <c r="R201">
        <v>500000</v>
      </c>
      <c r="S201">
        <v>153</v>
      </c>
      <c r="T201">
        <v>0</v>
      </c>
      <c r="U201">
        <v>500000</v>
      </c>
      <c r="V201" s="9">
        <v>46189.853409826392</v>
      </c>
    </row>
    <row r="202" spans="1:22" x14ac:dyDescent="0.2">
      <c r="A202" s="8">
        <v>46009</v>
      </c>
      <c r="B202">
        <v>42</v>
      </c>
      <c r="C202">
        <v>3</v>
      </c>
      <c r="D202">
        <v>194872.149</v>
      </c>
      <c r="E202">
        <v>-6</v>
      </c>
      <c r="F202">
        <v>8424126.0600000005</v>
      </c>
      <c r="G202">
        <v>0</v>
      </c>
      <c r="H202">
        <v>-351260.5</v>
      </c>
      <c r="I202">
        <v>8072865.5599999996</v>
      </c>
      <c r="J202">
        <v>36000</v>
      </c>
      <c r="K202">
        <v>0</v>
      </c>
      <c r="L202">
        <v>1475134.44</v>
      </c>
      <c r="M202">
        <v>9584000</v>
      </c>
      <c r="N202">
        <v>505882.34</v>
      </c>
      <c r="O202">
        <v>7566983.2199999997</v>
      </c>
      <c r="P202">
        <v>2167982</v>
      </c>
      <c r="Q202">
        <v>5399001.2199999997</v>
      </c>
      <c r="R202">
        <v>0</v>
      </c>
      <c r="S202">
        <v>123</v>
      </c>
      <c r="T202">
        <v>0</v>
      </c>
      <c r="U202">
        <v>0</v>
      </c>
      <c r="V202" s="9">
        <v>46189.853409826392</v>
      </c>
    </row>
    <row r="203" spans="1:22" x14ac:dyDescent="0.2">
      <c r="A203" s="8">
        <v>46010</v>
      </c>
      <c r="B203">
        <v>46</v>
      </c>
      <c r="C203">
        <v>2.6</v>
      </c>
      <c r="D203">
        <v>104725.06299999999</v>
      </c>
      <c r="E203">
        <v>0</v>
      </c>
      <c r="F203">
        <v>4871974.7699999996</v>
      </c>
      <c r="G203">
        <v>-54621.84</v>
      </c>
      <c r="H203">
        <v>0</v>
      </c>
      <c r="I203">
        <v>4817352.93</v>
      </c>
      <c r="J203">
        <v>12000</v>
      </c>
      <c r="K203">
        <v>0</v>
      </c>
      <c r="L203">
        <v>908647.07</v>
      </c>
      <c r="M203">
        <v>5738000</v>
      </c>
      <c r="N203">
        <v>354621.83</v>
      </c>
      <c r="O203">
        <v>4462731.0999999996</v>
      </c>
      <c r="P203">
        <v>1279913</v>
      </c>
      <c r="Q203">
        <v>3182818.1</v>
      </c>
      <c r="R203">
        <v>0</v>
      </c>
      <c r="S203">
        <v>121</v>
      </c>
      <c r="T203">
        <v>0</v>
      </c>
      <c r="U203">
        <v>0</v>
      </c>
      <c r="V203" s="9">
        <v>46189.853409826392</v>
      </c>
    </row>
    <row r="204" spans="1:22" x14ac:dyDescent="0.2">
      <c r="A204" s="8">
        <v>46011</v>
      </c>
      <c r="B204">
        <v>45</v>
      </c>
      <c r="C204">
        <v>3.6</v>
      </c>
      <c r="D204">
        <v>166595.70499999999</v>
      </c>
      <c r="E204">
        <v>0</v>
      </c>
      <c r="F204">
        <v>7572436.9800000004</v>
      </c>
      <c r="G204">
        <v>-75630.25</v>
      </c>
      <c r="H204">
        <v>0</v>
      </c>
      <c r="I204">
        <v>7496806.7300000004</v>
      </c>
      <c r="J204">
        <v>32000</v>
      </c>
      <c r="K204">
        <v>0</v>
      </c>
      <c r="L204">
        <v>1371193.27</v>
      </c>
      <c r="M204">
        <v>8900000</v>
      </c>
      <c r="N204">
        <v>644957.97</v>
      </c>
      <c r="O204">
        <v>6851848.7599999998</v>
      </c>
      <c r="P204">
        <v>2145496</v>
      </c>
      <c r="Q204">
        <v>4706352.76</v>
      </c>
      <c r="R204">
        <v>0</v>
      </c>
      <c r="S204">
        <v>161</v>
      </c>
      <c r="T204">
        <v>0</v>
      </c>
      <c r="U204">
        <v>0</v>
      </c>
      <c r="V204" s="9">
        <v>46189.853409826392</v>
      </c>
    </row>
    <row r="205" spans="1:22" x14ac:dyDescent="0.2">
      <c r="A205" s="8">
        <v>46012</v>
      </c>
      <c r="B205">
        <v>40</v>
      </c>
      <c r="C205">
        <v>3</v>
      </c>
      <c r="D205">
        <v>184746.008</v>
      </c>
      <c r="E205">
        <v>-3</v>
      </c>
      <c r="F205">
        <v>7568058.8399999999</v>
      </c>
      <c r="G205">
        <v>0</v>
      </c>
      <c r="H205">
        <v>-537815.12</v>
      </c>
      <c r="I205">
        <v>7030243.7199999997</v>
      </c>
      <c r="J205">
        <v>40000</v>
      </c>
      <c r="K205">
        <v>0</v>
      </c>
      <c r="L205">
        <v>1225356.28</v>
      </c>
      <c r="M205">
        <v>8295600</v>
      </c>
      <c r="N205">
        <v>429957.97</v>
      </c>
      <c r="O205">
        <v>6600285.75</v>
      </c>
      <c r="P205">
        <v>2143306</v>
      </c>
      <c r="Q205">
        <v>4456979.75</v>
      </c>
      <c r="R205">
        <v>0</v>
      </c>
      <c r="S205">
        <v>121</v>
      </c>
      <c r="T205">
        <v>0</v>
      </c>
      <c r="U205">
        <v>0</v>
      </c>
      <c r="V205" s="9">
        <v>46189.853409826392</v>
      </c>
    </row>
    <row r="206" spans="1:22" x14ac:dyDescent="0.2">
      <c r="A206" s="8">
        <v>46013</v>
      </c>
      <c r="B206">
        <v>55</v>
      </c>
      <c r="C206">
        <v>4.0999999999999996</v>
      </c>
      <c r="D206">
        <v>241772.95499999999</v>
      </c>
      <c r="E206">
        <v>-19</v>
      </c>
      <c r="F206">
        <v>15834865.48</v>
      </c>
      <c r="G206">
        <v>-1844067.22</v>
      </c>
      <c r="H206">
        <v>-888655.47</v>
      </c>
      <c r="I206">
        <v>13102142.789999999</v>
      </c>
      <c r="J206">
        <v>40000</v>
      </c>
      <c r="K206">
        <v>0</v>
      </c>
      <c r="L206">
        <v>2467367.21</v>
      </c>
      <c r="M206">
        <v>15609510</v>
      </c>
      <c r="N206">
        <v>260504.18</v>
      </c>
      <c r="O206">
        <v>12841638.609999999</v>
      </c>
      <c r="P206">
        <v>3822906</v>
      </c>
      <c r="Q206">
        <v>9018732.6099999994</v>
      </c>
      <c r="R206">
        <v>0</v>
      </c>
      <c r="S206">
        <v>222</v>
      </c>
      <c r="T206">
        <v>0</v>
      </c>
      <c r="U206">
        <v>0</v>
      </c>
      <c r="V206" s="9">
        <v>46189.853409826392</v>
      </c>
    </row>
    <row r="207" spans="1:22" x14ac:dyDescent="0.2">
      <c r="A207" s="8">
        <v>46014</v>
      </c>
      <c r="B207">
        <v>68</v>
      </c>
      <c r="C207">
        <v>2.5</v>
      </c>
      <c r="D207">
        <v>132153.484</v>
      </c>
      <c r="E207">
        <v>0</v>
      </c>
      <c r="F207">
        <v>8986436.9299999997</v>
      </c>
      <c r="G207">
        <v>0</v>
      </c>
      <c r="H207">
        <v>0</v>
      </c>
      <c r="I207">
        <v>8986436.9299999997</v>
      </c>
      <c r="J207">
        <v>56000</v>
      </c>
      <c r="K207">
        <v>0</v>
      </c>
      <c r="L207">
        <v>1670563.07</v>
      </c>
      <c r="M207">
        <v>10713000</v>
      </c>
      <c r="N207">
        <v>315756.3</v>
      </c>
      <c r="O207">
        <v>8670680.6300000008</v>
      </c>
      <c r="P207">
        <v>2849163</v>
      </c>
      <c r="Q207">
        <v>5821517.6299999999</v>
      </c>
      <c r="R207">
        <v>0</v>
      </c>
      <c r="S207">
        <v>173</v>
      </c>
      <c r="T207">
        <v>0</v>
      </c>
      <c r="U207">
        <v>0</v>
      </c>
      <c r="V207" s="9">
        <v>46189.853409826392</v>
      </c>
    </row>
    <row r="208" spans="1:22" x14ac:dyDescent="0.2">
      <c r="A208" s="8">
        <v>46015</v>
      </c>
      <c r="B208">
        <v>36</v>
      </c>
      <c r="C208">
        <v>2.2000000000000002</v>
      </c>
      <c r="D208">
        <v>117979.924</v>
      </c>
      <c r="E208">
        <v>0</v>
      </c>
      <c r="F208">
        <v>4247277.29</v>
      </c>
      <c r="G208">
        <v>0</v>
      </c>
      <c r="H208">
        <v>0</v>
      </c>
      <c r="I208">
        <v>4247277.29</v>
      </c>
      <c r="J208">
        <v>32000</v>
      </c>
      <c r="K208">
        <v>0</v>
      </c>
      <c r="L208">
        <v>796722.71</v>
      </c>
      <c r="M208">
        <v>5076000</v>
      </c>
      <c r="N208">
        <v>149798.32</v>
      </c>
      <c r="O208">
        <v>4097478.97</v>
      </c>
      <c r="P208">
        <v>1384703</v>
      </c>
      <c r="Q208">
        <v>2712775.97</v>
      </c>
      <c r="R208">
        <v>100000</v>
      </c>
      <c r="S208">
        <v>79</v>
      </c>
      <c r="T208">
        <v>0</v>
      </c>
      <c r="U208">
        <v>100000</v>
      </c>
      <c r="V208" s="9">
        <v>46189.853409826392</v>
      </c>
    </row>
    <row r="209" spans="1:22" x14ac:dyDescent="0.2">
      <c r="A209" s="8">
        <v>46016</v>
      </c>
      <c r="B209">
        <v>3</v>
      </c>
      <c r="C209">
        <v>1.7</v>
      </c>
      <c r="D209">
        <v>135854.34299999999</v>
      </c>
      <c r="E209">
        <v>0</v>
      </c>
      <c r="F209">
        <v>407563.03</v>
      </c>
      <c r="G209">
        <v>0</v>
      </c>
      <c r="H209">
        <v>0</v>
      </c>
      <c r="I209">
        <v>407563.03</v>
      </c>
      <c r="J209">
        <v>28000</v>
      </c>
      <c r="K209">
        <v>0</v>
      </c>
      <c r="L209">
        <v>77436.97</v>
      </c>
      <c r="M209">
        <v>513000</v>
      </c>
      <c r="N209">
        <v>0</v>
      </c>
      <c r="O209">
        <v>407563.03</v>
      </c>
      <c r="P209">
        <v>126794</v>
      </c>
      <c r="Q209">
        <v>280769.03000000003</v>
      </c>
      <c r="R209">
        <v>0</v>
      </c>
      <c r="S209">
        <v>5</v>
      </c>
      <c r="T209">
        <v>0</v>
      </c>
      <c r="U209">
        <v>0</v>
      </c>
      <c r="V209" s="9">
        <v>46189.853409826392</v>
      </c>
    </row>
    <row r="210" spans="1:22" x14ac:dyDescent="0.2">
      <c r="A210" s="8">
        <v>46017</v>
      </c>
      <c r="B210">
        <v>23</v>
      </c>
      <c r="C210">
        <v>5.2</v>
      </c>
      <c r="D210">
        <v>475648.52</v>
      </c>
      <c r="E210">
        <v>0</v>
      </c>
      <c r="F210">
        <v>10939915.98</v>
      </c>
      <c r="G210">
        <v>0</v>
      </c>
      <c r="H210">
        <v>0</v>
      </c>
      <c r="I210">
        <v>10939915.98</v>
      </c>
      <c r="J210">
        <v>44000</v>
      </c>
      <c r="K210">
        <v>0</v>
      </c>
      <c r="L210">
        <v>2078584.02</v>
      </c>
      <c r="M210">
        <v>13062500</v>
      </c>
      <c r="N210">
        <v>0</v>
      </c>
      <c r="O210">
        <v>10939915.98</v>
      </c>
      <c r="P210">
        <v>3123613</v>
      </c>
      <c r="Q210">
        <v>7816302.9800000004</v>
      </c>
      <c r="R210">
        <v>0</v>
      </c>
      <c r="S210">
        <v>120</v>
      </c>
      <c r="T210">
        <v>0</v>
      </c>
      <c r="U210">
        <v>0</v>
      </c>
      <c r="V210" s="9">
        <v>46189.853409826392</v>
      </c>
    </row>
    <row r="211" spans="1:22" x14ac:dyDescent="0.2">
      <c r="A211" s="8">
        <v>46018</v>
      </c>
      <c r="B211">
        <v>11</v>
      </c>
      <c r="C211">
        <v>2.2000000000000002</v>
      </c>
      <c r="D211">
        <v>145172.649</v>
      </c>
      <c r="E211">
        <v>0</v>
      </c>
      <c r="F211">
        <v>1596899.14</v>
      </c>
      <c r="G211">
        <v>0</v>
      </c>
      <c r="H211">
        <v>0</v>
      </c>
      <c r="I211">
        <v>1596899.14</v>
      </c>
      <c r="J211">
        <v>12000</v>
      </c>
      <c r="K211">
        <v>0</v>
      </c>
      <c r="L211">
        <v>294100.86</v>
      </c>
      <c r="M211">
        <v>1903000</v>
      </c>
      <c r="N211">
        <v>131932.76999999999</v>
      </c>
      <c r="O211">
        <v>1464966.37</v>
      </c>
      <c r="P211">
        <v>335784</v>
      </c>
      <c r="Q211">
        <v>1129182.3700000001</v>
      </c>
      <c r="R211">
        <v>0</v>
      </c>
      <c r="S211">
        <v>24</v>
      </c>
      <c r="T211">
        <v>0</v>
      </c>
      <c r="U211">
        <v>0</v>
      </c>
      <c r="V211" s="9">
        <v>46189.853409826392</v>
      </c>
    </row>
    <row r="212" spans="1:22" x14ac:dyDescent="0.2">
      <c r="A212" s="8">
        <v>46019</v>
      </c>
      <c r="B212">
        <v>5</v>
      </c>
      <c r="C212">
        <v>1.8</v>
      </c>
      <c r="D212">
        <v>113445.378</v>
      </c>
      <c r="E212">
        <v>0</v>
      </c>
      <c r="F212">
        <v>567226.89</v>
      </c>
      <c r="G212">
        <v>0</v>
      </c>
      <c r="H212">
        <v>0</v>
      </c>
      <c r="I212">
        <v>567226.89</v>
      </c>
      <c r="J212">
        <v>64000</v>
      </c>
      <c r="K212">
        <v>0</v>
      </c>
      <c r="L212">
        <v>107773.11</v>
      </c>
      <c r="M212">
        <v>739000</v>
      </c>
      <c r="N212">
        <v>0</v>
      </c>
      <c r="O212">
        <v>567226.89</v>
      </c>
      <c r="P212">
        <v>207069</v>
      </c>
      <c r="Q212">
        <v>360157.89</v>
      </c>
      <c r="R212">
        <v>0</v>
      </c>
      <c r="S212">
        <v>9</v>
      </c>
      <c r="T212">
        <v>0</v>
      </c>
      <c r="U212">
        <v>0</v>
      </c>
      <c r="V212" s="9">
        <v>46189.853409826392</v>
      </c>
    </row>
    <row r="213" spans="1:22" x14ac:dyDescent="0.2">
      <c r="A213" s="8">
        <v>46020</v>
      </c>
      <c r="B213">
        <v>14</v>
      </c>
      <c r="C213">
        <v>4.5999999999999996</v>
      </c>
      <c r="D213">
        <v>238019.20699999999</v>
      </c>
      <c r="E213">
        <v>0</v>
      </c>
      <c r="F213">
        <v>3510252.08</v>
      </c>
      <c r="G213">
        <v>-177983.18</v>
      </c>
      <c r="H213">
        <v>0</v>
      </c>
      <c r="I213">
        <v>3332268.9</v>
      </c>
      <c r="J213">
        <v>219000</v>
      </c>
      <c r="K213">
        <v>0</v>
      </c>
      <c r="L213">
        <v>515331.1</v>
      </c>
      <c r="M213">
        <v>4066600</v>
      </c>
      <c r="N213">
        <v>0</v>
      </c>
      <c r="O213">
        <v>3332268.9</v>
      </c>
      <c r="P213">
        <v>1006515</v>
      </c>
      <c r="Q213">
        <v>2325753.9</v>
      </c>
      <c r="R213">
        <v>0</v>
      </c>
      <c r="S213">
        <v>65</v>
      </c>
      <c r="T213">
        <v>0</v>
      </c>
      <c r="U213">
        <v>0</v>
      </c>
      <c r="V213" s="9">
        <v>46189.853409826392</v>
      </c>
    </row>
    <row r="214" spans="1:22" x14ac:dyDescent="0.2">
      <c r="A214" s="8">
        <v>46021</v>
      </c>
      <c r="B214">
        <v>15</v>
      </c>
      <c r="C214">
        <v>8</v>
      </c>
      <c r="D214">
        <v>550372.55000000005</v>
      </c>
      <c r="E214">
        <v>0</v>
      </c>
      <c r="F214">
        <v>8255588.25</v>
      </c>
      <c r="G214">
        <v>0</v>
      </c>
      <c r="H214">
        <v>0</v>
      </c>
      <c r="I214">
        <v>8255588.25</v>
      </c>
      <c r="J214">
        <v>52000</v>
      </c>
      <c r="K214">
        <v>0</v>
      </c>
      <c r="L214">
        <v>1552411.75</v>
      </c>
      <c r="M214">
        <v>9860000</v>
      </c>
      <c r="N214">
        <v>0</v>
      </c>
      <c r="O214">
        <v>8255588.25</v>
      </c>
      <c r="P214">
        <v>2186285</v>
      </c>
      <c r="Q214">
        <v>6069303.25</v>
      </c>
      <c r="R214">
        <v>0</v>
      </c>
      <c r="S214">
        <v>120</v>
      </c>
      <c r="T214">
        <v>0</v>
      </c>
      <c r="U214">
        <v>0</v>
      </c>
      <c r="V214" s="9">
        <v>46189.853409826392</v>
      </c>
    </row>
    <row r="215" spans="1:22" x14ac:dyDescent="0.2">
      <c r="A215" s="8">
        <v>46022</v>
      </c>
      <c r="B215">
        <v>11</v>
      </c>
      <c r="C215">
        <v>56.3</v>
      </c>
      <c r="D215">
        <v>1899533.9950000001</v>
      </c>
      <c r="E215">
        <v>0</v>
      </c>
      <c r="F215">
        <v>24317562.940000001</v>
      </c>
      <c r="G215">
        <v>-3422688.99</v>
      </c>
      <c r="H215">
        <v>0</v>
      </c>
      <c r="I215">
        <v>20894873.949999999</v>
      </c>
      <c r="J215">
        <v>40000</v>
      </c>
      <c r="K215">
        <v>0</v>
      </c>
      <c r="L215">
        <v>3970026.05</v>
      </c>
      <c r="M215">
        <v>24904900</v>
      </c>
      <c r="N215">
        <v>3681839.14</v>
      </c>
      <c r="O215">
        <v>17213034.809999999</v>
      </c>
      <c r="P215">
        <v>5783740</v>
      </c>
      <c r="Q215">
        <v>11429294.810000001</v>
      </c>
      <c r="R215">
        <v>0</v>
      </c>
      <c r="S215">
        <v>619</v>
      </c>
      <c r="T215">
        <v>0</v>
      </c>
      <c r="U215">
        <v>0</v>
      </c>
      <c r="V215" s="9">
        <v>46189.853409826392</v>
      </c>
    </row>
    <row r="216" spans="1:22" x14ac:dyDescent="0.2">
      <c r="A216" s="8">
        <v>46023</v>
      </c>
      <c r="B216">
        <v>1</v>
      </c>
      <c r="C216">
        <v>1</v>
      </c>
      <c r="D216">
        <v>100840.34</v>
      </c>
      <c r="E216">
        <v>0</v>
      </c>
      <c r="F216">
        <v>100840.34</v>
      </c>
      <c r="G216">
        <v>0</v>
      </c>
      <c r="H216">
        <v>0</v>
      </c>
      <c r="I216">
        <v>100840.34</v>
      </c>
      <c r="J216">
        <v>12000</v>
      </c>
      <c r="K216">
        <v>0</v>
      </c>
      <c r="L216">
        <v>19159.66</v>
      </c>
      <c r="M216">
        <v>132000</v>
      </c>
      <c r="N216">
        <v>0</v>
      </c>
      <c r="O216">
        <v>100840.34</v>
      </c>
      <c r="P216">
        <v>41720</v>
      </c>
      <c r="Q216">
        <v>59120.34</v>
      </c>
      <c r="R216">
        <v>0</v>
      </c>
      <c r="S216">
        <v>1</v>
      </c>
      <c r="T216">
        <v>0</v>
      </c>
      <c r="U216">
        <v>0</v>
      </c>
      <c r="V216" s="9">
        <v>46189.853409826392</v>
      </c>
    </row>
    <row r="217" spans="1:22" x14ac:dyDescent="0.2">
      <c r="A217" s="8">
        <v>46024</v>
      </c>
      <c r="B217">
        <v>3</v>
      </c>
      <c r="C217">
        <v>1.3</v>
      </c>
      <c r="D217">
        <v>154061.62599999999</v>
      </c>
      <c r="E217">
        <v>0</v>
      </c>
      <c r="F217">
        <v>462184.88</v>
      </c>
      <c r="G217">
        <v>0</v>
      </c>
      <c r="H217">
        <v>0</v>
      </c>
      <c r="I217">
        <v>462184.88</v>
      </c>
      <c r="J217">
        <v>28000</v>
      </c>
      <c r="K217">
        <v>0</v>
      </c>
      <c r="L217">
        <v>87815.12</v>
      </c>
      <c r="M217">
        <v>578000</v>
      </c>
      <c r="N217">
        <v>0</v>
      </c>
      <c r="O217">
        <v>462184.88</v>
      </c>
      <c r="P217">
        <v>134383</v>
      </c>
      <c r="Q217">
        <v>327801.88</v>
      </c>
      <c r="R217">
        <v>0</v>
      </c>
      <c r="S217">
        <v>4</v>
      </c>
      <c r="T217">
        <v>0</v>
      </c>
      <c r="U217">
        <v>0</v>
      </c>
      <c r="V217" s="9">
        <v>46189.853409826392</v>
      </c>
    </row>
    <row r="218" spans="1:22" x14ac:dyDescent="0.2">
      <c r="A218" s="8">
        <v>46025</v>
      </c>
      <c r="B218">
        <v>6</v>
      </c>
      <c r="C218">
        <v>1.5</v>
      </c>
      <c r="D218">
        <v>106162.466</v>
      </c>
      <c r="E218">
        <v>0</v>
      </c>
      <c r="F218">
        <v>636974.80000000005</v>
      </c>
      <c r="G218">
        <v>0</v>
      </c>
      <c r="H218">
        <v>0</v>
      </c>
      <c r="I218">
        <v>636974.80000000005</v>
      </c>
      <c r="J218">
        <v>72000</v>
      </c>
      <c r="K218">
        <v>0</v>
      </c>
      <c r="L218">
        <v>121025.2</v>
      </c>
      <c r="M218">
        <v>830000</v>
      </c>
      <c r="N218">
        <v>0</v>
      </c>
      <c r="O218">
        <v>636974.80000000005</v>
      </c>
      <c r="P218">
        <v>216998</v>
      </c>
      <c r="Q218">
        <v>419976.8</v>
      </c>
      <c r="R218">
        <v>0</v>
      </c>
      <c r="S218">
        <v>9</v>
      </c>
      <c r="T218">
        <v>0</v>
      </c>
      <c r="U218">
        <v>0</v>
      </c>
      <c r="V218" s="9">
        <v>46189.853409826392</v>
      </c>
    </row>
    <row r="219" spans="1:22" x14ac:dyDescent="0.2">
      <c r="A219" s="8">
        <v>46026</v>
      </c>
      <c r="B219">
        <v>3</v>
      </c>
      <c r="C219">
        <v>1</v>
      </c>
      <c r="D219">
        <v>114845.94</v>
      </c>
      <c r="E219">
        <v>0</v>
      </c>
      <c r="F219">
        <v>344537.82</v>
      </c>
      <c r="G219">
        <v>0</v>
      </c>
      <c r="H219">
        <v>0</v>
      </c>
      <c r="I219">
        <v>344537.82</v>
      </c>
      <c r="J219">
        <v>44000</v>
      </c>
      <c r="K219">
        <v>0</v>
      </c>
      <c r="L219">
        <v>65462.18</v>
      </c>
      <c r="M219">
        <v>454000</v>
      </c>
      <c r="N219">
        <v>0</v>
      </c>
      <c r="O219">
        <v>344537.82</v>
      </c>
      <c r="P219">
        <v>136786</v>
      </c>
      <c r="Q219">
        <v>207751.82</v>
      </c>
      <c r="R219">
        <v>0</v>
      </c>
      <c r="S219">
        <v>3</v>
      </c>
      <c r="T219">
        <v>0</v>
      </c>
      <c r="U219">
        <v>0</v>
      </c>
      <c r="V219" s="9">
        <v>46189.853409826392</v>
      </c>
    </row>
    <row r="220" spans="1:22" x14ac:dyDescent="0.2">
      <c r="A220" s="8">
        <v>46027</v>
      </c>
      <c r="B220">
        <v>13</v>
      </c>
      <c r="C220">
        <v>2.1</v>
      </c>
      <c r="D220">
        <v>138170.65299999999</v>
      </c>
      <c r="E220">
        <v>0</v>
      </c>
      <c r="F220">
        <v>1796218.5</v>
      </c>
      <c r="G220">
        <v>0</v>
      </c>
      <c r="H220">
        <v>0</v>
      </c>
      <c r="I220">
        <v>1796218.5</v>
      </c>
      <c r="J220">
        <v>40000</v>
      </c>
      <c r="K220">
        <v>0</v>
      </c>
      <c r="L220">
        <v>341281.5</v>
      </c>
      <c r="M220">
        <v>2177500</v>
      </c>
      <c r="N220">
        <v>0</v>
      </c>
      <c r="O220">
        <v>1796218.5</v>
      </c>
      <c r="P220">
        <v>626672</v>
      </c>
      <c r="Q220">
        <v>1169546.5</v>
      </c>
      <c r="R220">
        <v>0</v>
      </c>
      <c r="S220">
        <v>27</v>
      </c>
      <c r="T220">
        <v>0</v>
      </c>
      <c r="U220">
        <v>0</v>
      </c>
      <c r="V220" s="9">
        <v>46189.853409826392</v>
      </c>
    </row>
    <row r="221" spans="1:22" x14ac:dyDescent="0.2">
      <c r="A221" s="8">
        <v>46028</v>
      </c>
      <c r="B221">
        <v>11</v>
      </c>
      <c r="C221">
        <v>2.4</v>
      </c>
      <c r="D221">
        <v>122192.514</v>
      </c>
      <c r="E221">
        <v>0</v>
      </c>
      <c r="F221">
        <v>1344117.66</v>
      </c>
      <c r="G221">
        <v>0</v>
      </c>
      <c r="H221">
        <v>0</v>
      </c>
      <c r="I221">
        <v>1344117.66</v>
      </c>
      <c r="J221">
        <v>52000</v>
      </c>
      <c r="K221">
        <v>0</v>
      </c>
      <c r="L221">
        <v>255382.34</v>
      </c>
      <c r="M221">
        <v>1651500</v>
      </c>
      <c r="N221">
        <v>29411.759999999998</v>
      </c>
      <c r="O221">
        <v>1314705.8999999999</v>
      </c>
      <c r="P221">
        <v>408448</v>
      </c>
      <c r="Q221">
        <v>906257.9</v>
      </c>
      <c r="R221">
        <v>0</v>
      </c>
      <c r="S221">
        <v>26</v>
      </c>
      <c r="T221">
        <v>0</v>
      </c>
      <c r="U221">
        <v>0</v>
      </c>
      <c r="V221" s="9">
        <v>46189.853409826392</v>
      </c>
    </row>
    <row r="222" spans="1:22" x14ac:dyDescent="0.2">
      <c r="A222" s="8">
        <v>46029</v>
      </c>
      <c r="B222">
        <v>21</v>
      </c>
      <c r="C222">
        <v>2.8</v>
      </c>
      <c r="D222">
        <v>173829.533</v>
      </c>
      <c r="E222">
        <v>-2</v>
      </c>
      <c r="F222">
        <v>3709243.73</v>
      </c>
      <c r="G222">
        <v>0</v>
      </c>
      <c r="H222">
        <v>-285714.28999999998</v>
      </c>
      <c r="I222">
        <v>3423529.44</v>
      </c>
      <c r="J222">
        <v>60000</v>
      </c>
      <c r="K222">
        <v>0</v>
      </c>
      <c r="L222">
        <v>650470.56000000006</v>
      </c>
      <c r="M222">
        <v>4134000</v>
      </c>
      <c r="N222">
        <v>274789.92</v>
      </c>
      <c r="O222">
        <v>3148739.52</v>
      </c>
      <c r="P222">
        <v>997028</v>
      </c>
      <c r="Q222">
        <v>2151711.52</v>
      </c>
      <c r="R222">
        <v>0</v>
      </c>
      <c r="S222">
        <v>57</v>
      </c>
      <c r="T222">
        <v>0</v>
      </c>
      <c r="U222">
        <v>0</v>
      </c>
      <c r="V222" s="9">
        <v>46189.853409826392</v>
      </c>
    </row>
    <row r="223" spans="1:22" x14ac:dyDescent="0.2">
      <c r="A223" s="8">
        <v>46030</v>
      </c>
      <c r="B223">
        <v>24</v>
      </c>
      <c r="C223">
        <v>2.6</v>
      </c>
      <c r="D223">
        <v>134786.41500000001</v>
      </c>
      <c r="E223">
        <v>-1</v>
      </c>
      <c r="F223">
        <v>3234873.97</v>
      </c>
      <c r="G223">
        <v>0</v>
      </c>
      <c r="H223">
        <v>-46218.49</v>
      </c>
      <c r="I223">
        <v>3188655.48</v>
      </c>
      <c r="J223">
        <v>116000</v>
      </c>
      <c r="K223">
        <v>0</v>
      </c>
      <c r="L223">
        <v>605844.52</v>
      </c>
      <c r="M223">
        <v>3910500</v>
      </c>
      <c r="N223">
        <v>201680.66</v>
      </c>
      <c r="O223">
        <v>2986974.82</v>
      </c>
      <c r="P223">
        <v>789475</v>
      </c>
      <c r="Q223">
        <v>2197499.8199999998</v>
      </c>
      <c r="R223">
        <v>0</v>
      </c>
      <c r="S223">
        <v>61</v>
      </c>
      <c r="T223">
        <v>0</v>
      </c>
      <c r="U223">
        <v>0</v>
      </c>
      <c r="V223" s="9">
        <v>46189.853409826392</v>
      </c>
    </row>
    <row r="224" spans="1:22" x14ac:dyDescent="0.2">
      <c r="A224" s="8">
        <v>46031</v>
      </c>
      <c r="B224">
        <v>15</v>
      </c>
      <c r="C224">
        <v>2.9</v>
      </c>
      <c r="D224">
        <v>140593.83600000001</v>
      </c>
      <c r="E224">
        <v>0</v>
      </c>
      <c r="F224">
        <v>2136134.4300000002</v>
      </c>
      <c r="G224">
        <v>-27226.89</v>
      </c>
      <c r="H224">
        <v>0</v>
      </c>
      <c r="I224">
        <v>2108907.54</v>
      </c>
      <c r="J224">
        <v>56000</v>
      </c>
      <c r="K224">
        <v>0</v>
      </c>
      <c r="L224">
        <v>400692.46</v>
      </c>
      <c r="M224">
        <v>2565600</v>
      </c>
      <c r="N224">
        <v>29411.759999999998</v>
      </c>
      <c r="O224">
        <v>2079495.78</v>
      </c>
      <c r="P224">
        <v>673404</v>
      </c>
      <c r="Q224">
        <v>1406091.78</v>
      </c>
      <c r="R224">
        <v>0</v>
      </c>
      <c r="S224">
        <v>43</v>
      </c>
      <c r="T224">
        <v>0</v>
      </c>
      <c r="U224">
        <v>0</v>
      </c>
      <c r="V224" s="9">
        <v>46189.853409826392</v>
      </c>
    </row>
    <row r="225" spans="1:22" x14ac:dyDescent="0.2">
      <c r="A225" s="8">
        <v>46032</v>
      </c>
      <c r="B225">
        <v>16</v>
      </c>
      <c r="C225">
        <v>3.9</v>
      </c>
      <c r="D225">
        <v>629385.50399999996</v>
      </c>
      <c r="E225">
        <v>-29</v>
      </c>
      <c r="F225">
        <v>10314621.85</v>
      </c>
      <c r="G225">
        <v>-143613.44</v>
      </c>
      <c r="H225">
        <v>-8012605.04</v>
      </c>
      <c r="I225">
        <v>2158403.37</v>
      </c>
      <c r="J225">
        <v>121000</v>
      </c>
      <c r="K225">
        <v>0</v>
      </c>
      <c r="L225">
        <v>410096.63</v>
      </c>
      <c r="M225">
        <v>2689500</v>
      </c>
      <c r="N225">
        <v>58823.519999999997</v>
      </c>
      <c r="O225">
        <v>2099579.85</v>
      </c>
      <c r="P225">
        <v>667083</v>
      </c>
      <c r="Q225">
        <v>1432496.85</v>
      </c>
      <c r="R225">
        <v>0</v>
      </c>
      <c r="S225">
        <v>34</v>
      </c>
      <c r="T225">
        <v>0</v>
      </c>
      <c r="U225">
        <v>0</v>
      </c>
      <c r="V225" s="9">
        <v>46189.853409826392</v>
      </c>
    </row>
    <row r="226" spans="1:22" x14ac:dyDescent="0.2">
      <c r="A226" s="8">
        <v>46033</v>
      </c>
      <c r="B226">
        <v>4</v>
      </c>
      <c r="C226">
        <v>2.2000000000000002</v>
      </c>
      <c r="D226">
        <v>81827.732000000004</v>
      </c>
      <c r="E226">
        <v>0</v>
      </c>
      <c r="F226">
        <v>327310.93</v>
      </c>
      <c r="G226">
        <v>0</v>
      </c>
      <c r="H226">
        <v>0</v>
      </c>
      <c r="I226">
        <v>327310.93</v>
      </c>
      <c r="J226">
        <v>16000</v>
      </c>
      <c r="K226">
        <v>0</v>
      </c>
      <c r="L226">
        <v>62189.07</v>
      </c>
      <c r="M226">
        <v>405500</v>
      </c>
      <c r="N226">
        <v>29411.77</v>
      </c>
      <c r="O226">
        <v>297899.15999999997</v>
      </c>
      <c r="P226">
        <v>98269</v>
      </c>
      <c r="Q226">
        <v>199630.16</v>
      </c>
      <c r="R226">
        <v>0</v>
      </c>
      <c r="S226">
        <v>9</v>
      </c>
      <c r="T226">
        <v>0</v>
      </c>
      <c r="U226">
        <v>0</v>
      </c>
      <c r="V226" s="9">
        <v>46189.853409826392</v>
      </c>
    </row>
    <row r="227" spans="1:22" x14ac:dyDescent="0.2">
      <c r="A227" s="8">
        <v>46034</v>
      </c>
      <c r="B227">
        <v>3</v>
      </c>
      <c r="C227">
        <v>1.3</v>
      </c>
      <c r="D227">
        <v>121848.74</v>
      </c>
      <c r="E227">
        <v>0</v>
      </c>
      <c r="F227">
        <v>365546.22</v>
      </c>
      <c r="G227">
        <v>0</v>
      </c>
      <c r="H227">
        <v>0</v>
      </c>
      <c r="I227">
        <v>365546.22</v>
      </c>
      <c r="J227">
        <v>16000</v>
      </c>
      <c r="K227">
        <v>0</v>
      </c>
      <c r="L227">
        <v>69453.78</v>
      </c>
      <c r="M227">
        <v>451000</v>
      </c>
      <c r="N227">
        <v>0</v>
      </c>
      <c r="O227">
        <v>365546.22</v>
      </c>
      <c r="P227">
        <v>59952</v>
      </c>
      <c r="Q227">
        <v>305594.21999999997</v>
      </c>
      <c r="R227">
        <v>0</v>
      </c>
      <c r="S227">
        <v>4</v>
      </c>
      <c r="T227">
        <v>0</v>
      </c>
      <c r="U227">
        <v>0</v>
      </c>
      <c r="V227" s="9">
        <v>46189.853409826392</v>
      </c>
    </row>
    <row r="228" spans="1:22" x14ac:dyDescent="0.2">
      <c r="A228" s="8">
        <v>46035</v>
      </c>
      <c r="B228">
        <v>18</v>
      </c>
      <c r="C228">
        <v>2.2999999999999998</v>
      </c>
      <c r="D228">
        <v>142180.204</v>
      </c>
      <c r="E228">
        <v>0</v>
      </c>
      <c r="F228">
        <v>2628151.2400000002</v>
      </c>
      <c r="G228">
        <v>-68907.56</v>
      </c>
      <c r="H228">
        <v>0</v>
      </c>
      <c r="I228">
        <v>2559243.6800000002</v>
      </c>
      <c r="J228">
        <v>24000</v>
      </c>
      <c r="K228">
        <v>0</v>
      </c>
      <c r="L228">
        <v>486256.32</v>
      </c>
      <c r="M228">
        <v>3069500</v>
      </c>
      <c r="N228">
        <v>120168.05</v>
      </c>
      <c r="O228">
        <v>2439075.63</v>
      </c>
      <c r="P228">
        <v>612162</v>
      </c>
      <c r="Q228">
        <v>1826913.63</v>
      </c>
      <c r="R228">
        <v>0</v>
      </c>
      <c r="S228">
        <v>41</v>
      </c>
      <c r="T228">
        <v>0</v>
      </c>
      <c r="U228">
        <v>0</v>
      </c>
      <c r="V228" s="9">
        <v>46189.853409826392</v>
      </c>
    </row>
    <row r="229" spans="1:22" x14ac:dyDescent="0.2">
      <c r="A229" s="8">
        <v>46036</v>
      </c>
      <c r="B229">
        <v>21</v>
      </c>
      <c r="C229">
        <v>3</v>
      </c>
      <c r="D229">
        <v>232277.31</v>
      </c>
      <c r="E229">
        <v>0</v>
      </c>
      <c r="F229">
        <v>4933285.6900000004</v>
      </c>
      <c r="G229">
        <v>-55462.17</v>
      </c>
      <c r="H229">
        <v>0</v>
      </c>
      <c r="I229">
        <v>4877823.5199999996</v>
      </c>
      <c r="J229">
        <v>60000</v>
      </c>
      <c r="K229">
        <v>0</v>
      </c>
      <c r="L229">
        <v>894676.47999999998</v>
      </c>
      <c r="M229">
        <v>5832500</v>
      </c>
      <c r="N229">
        <v>768907.56</v>
      </c>
      <c r="O229">
        <v>4108915.96</v>
      </c>
      <c r="P229">
        <v>1144323</v>
      </c>
      <c r="Q229">
        <v>2964592.96</v>
      </c>
      <c r="R229">
        <v>0</v>
      </c>
      <c r="S229">
        <v>64</v>
      </c>
      <c r="T229">
        <v>0</v>
      </c>
      <c r="U229">
        <v>0</v>
      </c>
      <c r="V229" s="9">
        <v>46189.853409826392</v>
      </c>
    </row>
    <row r="230" spans="1:22" x14ac:dyDescent="0.2">
      <c r="A230" s="8">
        <v>46037</v>
      </c>
      <c r="B230">
        <v>20</v>
      </c>
      <c r="C230">
        <v>1.7</v>
      </c>
      <c r="D230">
        <v>74647.899000000005</v>
      </c>
      <c r="E230">
        <v>0</v>
      </c>
      <c r="F230">
        <v>1492957.98</v>
      </c>
      <c r="G230">
        <v>0</v>
      </c>
      <c r="H230">
        <v>0</v>
      </c>
      <c r="I230">
        <v>1492957.98</v>
      </c>
      <c r="J230">
        <v>0</v>
      </c>
      <c r="K230">
        <v>0</v>
      </c>
      <c r="L230">
        <v>246042.02</v>
      </c>
      <c r="M230">
        <v>1739000</v>
      </c>
      <c r="N230">
        <v>403882.35</v>
      </c>
      <c r="O230">
        <v>1089075.6299999999</v>
      </c>
      <c r="P230">
        <v>268453</v>
      </c>
      <c r="Q230">
        <v>820622.63</v>
      </c>
      <c r="R230">
        <v>0</v>
      </c>
      <c r="S230">
        <v>34</v>
      </c>
      <c r="T230">
        <v>0</v>
      </c>
      <c r="U230">
        <v>0</v>
      </c>
      <c r="V230" s="9">
        <v>46189.853409826392</v>
      </c>
    </row>
    <row r="231" spans="1:22" x14ac:dyDescent="0.2">
      <c r="A231" s="8">
        <v>46038</v>
      </c>
      <c r="B231">
        <v>16</v>
      </c>
      <c r="C231">
        <v>2.2000000000000002</v>
      </c>
      <c r="D231">
        <v>128781.512</v>
      </c>
      <c r="E231">
        <v>0</v>
      </c>
      <c r="F231">
        <v>2060504.2</v>
      </c>
      <c r="G231">
        <v>0</v>
      </c>
      <c r="H231">
        <v>0</v>
      </c>
      <c r="I231">
        <v>2060504.2</v>
      </c>
      <c r="J231">
        <v>68000</v>
      </c>
      <c r="K231">
        <v>0</v>
      </c>
      <c r="L231">
        <v>391495.8</v>
      </c>
      <c r="M231">
        <v>2520000</v>
      </c>
      <c r="N231">
        <v>151260.49</v>
      </c>
      <c r="O231">
        <v>1909243.71</v>
      </c>
      <c r="P231">
        <v>579609</v>
      </c>
      <c r="Q231">
        <v>1329634.71</v>
      </c>
      <c r="R231">
        <v>0</v>
      </c>
      <c r="S231">
        <v>35</v>
      </c>
      <c r="T231">
        <v>0</v>
      </c>
      <c r="U231">
        <v>0</v>
      </c>
      <c r="V231" s="9">
        <v>46189.853409826392</v>
      </c>
    </row>
    <row r="232" spans="1:22" x14ac:dyDescent="0.2">
      <c r="A232" s="8">
        <v>46039</v>
      </c>
      <c r="B232">
        <v>28</v>
      </c>
      <c r="C232">
        <v>2.4</v>
      </c>
      <c r="D232">
        <v>163383.853</v>
      </c>
      <c r="E232">
        <v>0</v>
      </c>
      <c r="F232">
        <v>4581470.57</v>
      </c>
      <c r="G232">
        <v>-6722.68</v>
      </c>
      <c r="H232">
        <v>0</v>
      </c>
      <c r="I232">
        <v>4574747.8899999997</v>
      </c>
      <c r="J232">
        <v>52000</v>
      </c>
      <c r="K232">
        <v>0</v>
      </c>
      <c r="L232">
        <v>858752.11</v>
      </c>
      <c r="M232">
        <v>5485500</v>
      </c>
      <c r="N232">
        <v>318523.15000000002</v>
      </c>
      <c r="O232">
        <v>4256224.74</v>
      </c>
      <c r="P232">
        <v>1272755</v>
      </c>
      <c r="Q232">
        <v>2983469.74</v>
      </c>
      <c r="R232">
        <v>0</v>
      </c>
      <c r="S232">
        <v>67</v>
      </c>
      <c r="T232">
        <v>0</v>
      </c>
      <c r="U232">
        <v>0</v>
      </c>
      <c r="V232" s="9">
        <v>46189.853409826392</v>
      </c>
    </row>
    <row r="233" spans="1:22" x14ac:dyDescent="0.2">
      <c r="A233" s="8">
        <v>46040</v>
      </c>
      <c r="B233">
        <v>10</v>
      </c>
      <c r="C233">
        <v>1.9</v>
      </c>
      <c r="D233">
        <v>134752.10200000001</v>
      </c>
      <c r="E233">
        <v>0</v>
      </c>
      <c r="F233">
        <v>1347521.02</v>
      </c>
      <c r="G233">
        <v>0</v>
      </c>
      <c r="H233">
        <v>0</v>
      </c>
      <c r="I233">
        <v>1347521.02</v>
      </c>
      <c r="J233">
        <v>215000</v>
      </c>
      <c r="K233">
        <v>0</v>
      </c>
      <c r="L233">
        <v>247478.98</v>
      </c>
      <c r="M233">
        <v>1810000</v>
      </c>
      <c r="N233">
        <v>29411.759999999998</v>
      </c>
      <c r="O233">
        <v>1318109.26</v>
      </c>
      <c r="P233">
        <v>424853</v>
      </c>
      <c r="Q233">
        <v>893256.26</v>
      </c>
      <c r="R233">
        <v>0</v>
      </c>
      <c r="S233">
        <v>19</v>
      </c>
      <c r="T233">
        <v>0</v>
      </c>
      <c r="U233">
        <v>0</v>
      </c>
      <c r="V233" s="9">
        <v>46189.853409826392</v>
      </c>
    </row>
    <row r="234" spans="1:22" x14ac:dyDescent="0.2">
      <c r="A234" s="8">
        <v>46041</v>
      </c>
      <c r="B234">
        <v>17</v>
      </c>
      <c r="C234">
        <v>2.1</v>
      </c>
      <c r="D234">
        <v>152413.24799999999</v>
      </c>
      <c r="E234">
        <v>0</v>
      </c>
      <c r="F234">
        <v>2591025.23</v>
      </c>
      <c r="G234">
        <v>0</v>
      </c>
      <c r="H234">
        <v>0</v>
      </c>
      <c r="I234">
        <v>2591025.23</v>
      </c>
      <c r="J234">
        <v>44000</v>
      </c>
      <c r="K234">
        <v>0</v>
      </c>
      <c r="L234">
        <v>439474.77</v>
      </c>
      <c r="M234">
        <v>3074500</v>
      </c>
      <c r="N234">
        <v>29411.759999999998</v>
      </c>
      <c r="O234">
        <v>2561613.4700000002</v>
      </c>
      <c r="P234">
        <v>924834</v>
      </c>
      <c r="Q234">
        <v>1636779.47</v>
      </c>
      <c r="R234">
        <v>0</v>
      </c>
      <c r="S234">
        <v>35</v>
      </c>
      <c r="T234">
        <v>0</v>
      </c>
      <c r="U234">
        <v>0</v>
      </c>
      <c r="V234" s="9">
        <v>46189.853409826392</v>
      </c>
    </row>
    <row r="235" spans="1:22" x14ac:dyDescent="0.2">
      <c r="A235" s="8">
        <v>46042</v>
      </c>
      <c r="B235">
        <v>9</v>
      </c>
      <c r="C235">
        <v>2.4</v>
      </c>
      <c r="D235">
        <v>150606.91</v>
      </c>
      <c r="E235">
        <v>0</v>
      </c>
      <c r="F235">
        <v>1355462.19</v>
      </c>
      <c r="G235">
        <v>0</v>
      </c>
      <c r="H235">
        <v>0</v>
      </c>
      <c r="I235">
        <v>1355462.19</v>
      </c>
      <c r="J235">
        <v>39000</v>
      </c>
      <c r="K235">
        <v>0</v>
      </c>
      <c r="L235">
        <v>257537.81</v>
      </c>
      <c r="M235">
        <v>1652000</v>
      </c>
      <c r="N235">
        <v>88235.29</v>
      </c>
      <c r="O235">
        <v>1267226.8999999999</v>
      </c>
      <c r="P235">
        <v>368166</v>
      </c>
      <c r="Q235">
        <v>899060.9</v>
      </c>
      <c r="R235">
        <v>0</v>
      </c>
      <c r="S235">
        <v>22</v>
      </c>
      <c r="T235">
        <v>0</v>
      </c>
      <c r="U235">
        <v>0</v>
      </c>
      <c r="V235" s="9">
        <v>46189.853409826392</v>
      </c>
    </row>
    <row r="236" spans="1:22" x14ac:dyDescent="0.2">
      <c r="A236" s="8">
        <v>46043</v>
      </c>
      <c r="B236">
        <v>27</v>
      </c>
      <c r="C236">
        <v>2.5</v>
      </c>
      <c r="D236">
        <v>153454.715</v>
      </c>
      <c r="E236">
        <v>0</v>
      </c>
      <c r="F236">
        <v>4260924.38</v>
      </c>
      <c r="G236">
        <v>0</v>
      </c>
      <c r="H236">
        <v>0</v>
      </c>
      <c r="I236">
        <v>4260924.38</v>
      </c>
      <c r="J236">
        <v>84000</v>
      </c>
      <c r="K236">
        <v>0</v>
      </c>
      <c r="L236">
        <v>809575.62</v>
      </c>
      <c r="M236">
        <v>5154500</v>
      </c>
      <c r="N236">
        <v>626050.41</v>
      </c>
      <c r="O236">
        <v>3634873.97</v>
      </c>
      <c r="P236">
        <v>922530</v>
      </c>
      <c r="Q236">
        <v>2712343.97</v>
      </c>
      <c r="R236">
        <v>0</v>
      </c>
      <c r="S236">
        <v>70</v>
      </c>
      <c r="T236">
        <v>0</v>
      </c>
      <c r="U236">
        <v>0</v>
      </c>
      <c r="V236" s="9">
        <v>46189.853409826392</v>
      </c>
    </row>
    <row r="237" spans="1:22" x14ac:dyDescent="0.2">
      <c r="A237" s="8">
        <v>46044</v>
      </c>
      <c r="B237">
        <v>18</v>
      </c>
      <c r="C237">
        <v>2.1</v>
      </c>
      <c r="D237">
        <v>124463.118</v>
      </c>
      <c r="E237">
        <v>-31</v>
      </c>
      <c r="F237">
        <v>9894957.9700000007</v>
      </c>
      <c r="G237">
        <v>-91596.62</v>
      </c>
      <c r="H237">
        <v>-6806722.6900000004</v>
      </c>
      <c r="I237">
        <v>2996638.66</v>
      </c>
      <c r="J237">
        <v>40000</v>
      </c>
      <c r="K237">
        <v>0</v>
      </c>
      <c r="L237">
        <v>569361.34</v>
      </c>
      <c r="M237">
        <v>3606000</v>
      </c>
      <c r="N237">
        <v>0</v>
      </c>
      <c r="O237">
        <v>2951638.66</v>
      </c>
      <c r="P237">
        <v>1216182</v>
      </c>
      <c r="Q237">
        <v>1735456.66</v>
      </c>
      <c r="R237">
        <v>0</v>
      </c>
      <c r="S237">
        <v>36</v>
      </c>
      <c r="T237">
        <v>0</v>
      </c>
      <c r="U237">
        <v>0</v>
      </c>
      <c r="V237" s="9">
        <v>46189.853409826392</v>
      </c>
    </row>
    <row r="238" spans="1:22" x14ac:dyDescent="0.2">
      <c r="A238" s="8">
        <v>46045</v>
      </c>
      <c r="B238">
        <v>12</v>
      </c>
      <c r="C238">
        <v>2</v>
      </c>
      <c r="D238">
        <v>111344.538</v>
      </c>
      <c r="E238">
        <v>0</v>
      </c>
      <c r="F238">
        <v>1336134.46</v>
      </c>
      <c r="G238">
        <v>0</v>
      </c>
      <c r="H238">
        <v>0</v>
      </c>
      <c r="I238">
        <v>1336134.46</v>
      </c>
      <c r="J238">
        <v>16000</v>
      </c>
      <c r="K238">
        <v>0</v>
      </c>
      <c r="L238">
        <v>253865.54</v>
      </c>
      <c r="M238">
        <v>1606000</v>
      </c>
      <c r="N238">
        <v>29411.759999999998</v>
      </c>
      <c r="O238">
        <v>1306722.7</v>
      </c>
      <c r="P238">
        <v>310755</v>
      </c>
      <c r="Q238">
        <v>995967.7</v>
      </c>
      <c r="R238">
        <v>0</v>
      </c>
      <c r="S238">
        <v>24</v>
      </c>
      <c r="T238">
        <v>0</v>
      </c>
      <c r="U238">
        <v>0</v>
      </c>
      <c r="V238" s="9">
        <v>46189.853409826392</v>
      </c>
    </row>
    <row r="239" spans="1:22" x14ac:dyDescent="0.2">
      <c r="A239" s="8">
        <v>46046</v>
      </c>
      <c r="B239">
        <v>17</v>
      </c>
      <c r="C239">
        <v>1.6</v>
      </c>
      <c r="D239">
        <v>95600.592000000004</v>
      </c>
      <c r="E239">
        <v>0</v>
      </c>
      <c r="F239">
        <v>1625210.08</v>
      </c>
      <c r="G239">
        <v>0</v>
      </c>
      <c r="H239">
        <v>0</v>
      </c>
      <c r="I239">
        <v>1625210.08</v>
      </c>
      <c r="J239">
        <v>9000</v>
      </c>
      <c r="K239">
        <v>0</v>
      </c>
      <c r="L239">
        <v>308789.92</v>
      </c>
      <c r="M239">
        <v>1943000</v>
      </c>
      <c r="N239">
        <v>121008.4</v>
      </c>
      <c r="O239">
        <v>1504201.68</v>
      </c>
      <c r="P239">
        <v>459870</v>
      </c>
      <c r="Q239">
        <v>1044331.68</v>
      </c>
      <c r="R239">
        <v>100000</v>
      </c>
      <c r="S239">
        <v>27</v>
      </c>
      <c r="T239">
        <v>0</v>
      </c>
      <c r="U239">
        <v>100000</v>
      </c>
      <c r="V239" s="9">
        <v>46189.853409826392</v>
      </c>
    </row>
    <row r="240" spans="1:22" x14ac:dyDescent="0.2">
      <c r="A240" s="8">
        <v>46047</v>
      </c>
      <c r="B240">
        <v>13</v>
      </c>
      <c r="C240">
        <v>1.5</v>
      </c>
      <c r="D240">
        <v>90032.966</v>
      </c>
      <c r="E240">
        <v>0</v>
      </c>
      <c r="F240">
        <v>1170428.57</v>
      </c>
      <c r="G240">
        <v>0</v>
      </c>
      <c r="H240">
        <v>0</v>
      </c>
      <c r="I240">
        <v>1170428.57</v>
      </c>
      <c r="J240">
        <v>40000</v>
      </c>
      <c r="K240">
        <v>0</v>
      </c>
      <c r="L240">
        <v>203571.43</v>
      </c>
      <c r="M240">
        <v>1414000</v>
      </c>
      <c r="N240">
        <v>288075.63</v>
      </c>
      <c r="O240">
        <v>882352.94</v>
      </c>
      <c r="P240">
        <v>263495</v>
      </c>
      <c r="Q240">
        <v>618857.93999999994</v>
      </c>
      <c r="R240">
        <v>0</v>
      </c>
      <c r="S240">
        <v>19</v>
      </c>
      <c r="T240">
        <v>0</v>
      </c>
      <c r="U240">
        <v>0</v>
      </c>
      <c r="V240" s="9">
        <v>46189.853409826392</v>
      </c>
    </row>
    <row r="241" spans="1:22" x14ac:dyDescent="0.2">
      <c r="A241" s="8">
        <v>46048</v>
      </c>
      <c r="B241">
        <v>17</v>
      </c>
      <c r="C241">
        <v>2.9</v>
      </c>
      <c r="D241">
        <v>196214.685</v>
      </c>
      <c r="E241">
        <v>-2</v>
      </c>
      <c r="F241">
        <v>3540201.68</v>
      </c>
      <c r="G241">
        <v>-35552.019999999997</v>
      </c>
      <c r="H241">
        <v>-365546.22</v>
      </c>
      <c r="I241">
        <v>3139103.44</v>
      </c>
      <c r="J241">
        <v>76000</v>
      </c>
      <c r="K241">
        <v>0</v>
      </c>
      <c r="L241">
        <v>513896.56</v>
      </c>
      <c r="M241">
        <v>3729000</v>
      </c>
      <c r="N241">
        <v>0</v>
      </c>
      <c r="O241">
        <v>3139103.44</v>
      </c>
      <c r="P241">
        <v>900126</v>
      </c>
      <c r="Q241">
        <v>2238977.44</v>
      </c>
      <c r="R241">
        <v>0</v>
      </c>
      <c r="S241">
        <v>48</v>
      </c>
      <c r="T241">
        <v>0</v>
      </c>
      <c r="U241">
        <v>0</v>
      </c>
      <c r="V241" s="9">
        <v>46189.853409826392</v>
      </c>
    </row>
    <row r="242" spans="1:22" x14ac:dyDescent="0.2">
      <c r="A242" s="8">
        <v>46049</v>
      </c>
      <c r="B242">
        <v>13</v>
      </c>
      <c r="C242">
        <v>1.9</v>
      </c>
      <c r="D242">
        <v>160556.56200000001</v>
      </c>
      <c r="E242">
        <v>0</v>
      </c>
      <c r="F242">
        <v>2104042.0299999998</v>
      </c>
      <c r="G242">
        <v>-16806.72</v>
      </c>
      <c r="H242">
        <v>0</v>
      </c>
      <c r="I242">
        <v>2087235.31</v>
      </c>
      <c r="J242">
        <v>68000</v>
      </c>
      <c r="K242">
        <v>0</v>
      </c>
      <c r="L242">
        <v>377764.69</v>
      </c>
      <c r="M242">
        <v>2533000</v>
      </c>
      <c r="N242">
        <v>0</v>
      </c>
      <c r="O242">
        <v>2087235.31</v>
      </c>
      <c r="P242">
        <v>593363</v>
      </c>
      <c r="Q242">
        <v>1493872.31</v>
      </c>
      <c r="R242">
        <v>0</v>
      </c>
      <c r="S242">
        <v>25</v>
      </c>
      <c r="T242">
        <v>0</v>
      </c>
      <c r="U242">
        <v>0</v>
      </c>
      <c r="V242" s="9">
        <v>46189.853409826392</v>
      </c>
    </row>
    <row r="243" spans="1:22" x14ac:dyDescent="0.2">
      <c r="A243" s="8">
        <v>46050</v>
      </c>
      <c r="B243">
        <v>16</v>
      </c>
      <c r="C243">
        <v>2.5</v>
      </c>
      <c r="D243">
        <v>168269.43299999999</v>
      </c>
      <c r="E243">
        <v>0</v>
      </c>
      <c r="F243">
        <v>2713319.31</v>
      </c>
      <c r="G243">
        <v>-21008.38</v>
      </c>
      <c r="H243">
        <v>0</v>
      </c>
      <c r="I243">
        <v>2692310.93</v>
      </c>
      <c r="J243">
        <v>56000</v>
      </c>
      <c r="K243">
        <v>0</v>
      </c>
      <c r="L243">
        <v>489689.07</v>
      </c>
      <c r="M243">
        <v>3238000</v>
      </c>
      <c r="N243">
        <v>0</v>
      </c>
      <c r="O243">
        <v>2692310.93</v>
      </c>
      <c r="P243">
        <v>741903</v>
      </c>
      <c r="Q243">
        <v>1950407.93</v>
      </c>
      <c r="R243">
        <v>0</v>
      </c>
      <c r="S243">
        <v>40</v>
      </c>
      <c r="T243">
        <v>0</v>
      </c>
      <c r="U243">
        <v>0</v>
      </c>
      <c r="V243" s="9">
        <v>46189.853409826392</v>
      </c>
    </row>
    <row r="244" spans="1:22" x14ac:dyDescent="0.2">
      <c r="A244" s="8">
        <v>46051</v>
      </c>
      <c r="B244">
        <v>9</v>
      </c>
      <c r="C244">
        <v>2.6</v>
      </c>
      <c r="D244">
        <v>108309.992</v>
      </c>
      <c r="E244">
        <v>0</v>
      </c>
      <c r="F244">
        <v>974789.93</v>
      </c>
      <c r="G244">
        <v>0</v>
      </c>
      <c r="H244">
        <v>0</v>
      </c>
      <c r="I244">
        <v>974789.93</v>
      </c>
      <c r="J244">
        <v>60000</v>
      </c>
      <c r="K244">
        <v>0</v>
      </c>
      <c r="L244">
        <v>185210.07</v>
      </c>
      <c r="M244">
        <v>1220000</v>
      </c>
      <c r="N244">
        <v>0</v>
      </c>
      <c r="O244">
        <v>974789.93</v>
      </c>
      <c r="P244">
        <v>244305</v>
      </c>
      <c r="Q244">
        <v>730484.93</v>
      </c>
      <c r="R244">
        <v>0</v>
      </c>
      <c r="S244">
        <v>23</v>
      </c>
      <c r="T244">
        <v>0</v>
      </c>
      <c r="U244">
        <v>0</v>
      </c>
      <c r="V244" s="9">
        <v>46189.853409826392</v>
      </c>
    </row>
    <row r="245" spans="1:22" x14ac:dyDescent="0.2">
      <c r="A245" s="8">
        <v>46052</v>
      </c>
      <c r="B245">
        <v>18</v>
      </c>
      <c r="C245">
        <v>2.2000000000000002</v>
      </c>
      <c r="D245">
        <v>143853.875</v>
      </c>
      <c r="E245">
        <v>0</v>
      </c>
      <c r="F245">
        <v>2589369.75</v>
      </c>
      <c r="G245">
        <v>0</v>
      </c>
      <c r="H245">
        <v>0</v>
      </c>
      <c r="I245">
        <v>2589369.75</v>
      </c>
      <c r="J245">
        <v>48000</v>
      </c>
      <c r="K245">
        <v>0</v>
      </c>
      <c r="L245">
        <v>451130.25</v>
      </c>
      <c r="M245">
        <v>3088500</v>
      </c>
      <c r="N245">
        <v>0</v>
      </c>
      <c r="O245">
        <v>2589369.75</v>
      </c>
      <c r="P245">
        <v>1072348</v>
      </c>
      <c r="Q245">
        <v>1517021.75</v>
      </c>
      <c r="R245">
        <v>0</v>
      </c>
      <c r="S245">
        <v>40</v>
      </c>
      <c r="T245">
        <v>0</v>
      </c>
      <c r="U245">
        <v>0</v>
      </c>
      <c r="V245" s="9">
        <v>46189.853409826392</v>
      </c>
    </row>
    <row r="246" spans="1:22" x14ac:dyDescent="0.2">
      <c r="A246" s="8">
        <v>46053</v>
      </c>
      <c r="B246">
        <v>15</v>
      </c>
      <c r="C246">
        <v>2.2000000000000002</v>
      </c>
      <c r="D246">
        <v>130984.314</v>
      </c>
      <c r="E246">
        <v>0</v>
      </c>
      <c r="F246">
        <v>1968966.38</v>
      </c>
      <c r="G246">
        <v>-4201.67</v>
      </c>
      <c r="H246">
        <v>0</v>
      </c>
      <c r="I246">
        <v>1964764.71</v>
      </c>
      <c r="J246">
        <v>12000</v>
      </c>
      <c r="K246">
        <v>0</v>
      </c>
      <c r="L246">
        <v>344235.29</v>
      </c>
      <c r="M246">
        <v>2321000</v>
      </c>
      <c r="N246">
        <v>0</v>
      </c>
      <c r="O246">
        <v>1964764.71</v>
      </c>
      <c r="P246">
        <v>584141</v>
      </c>
      <c r="Q246">
        <v>1380623.71</v>
      </c>
      <c r="R246">
        <v>0</v>
      </c>
      <c r="S246">
        <v>33</v>
      </c>
      <c r="T246">
        <v>0</v>
      </c>
      <c r="U246">
        <v>0</v>
      </c>
      <c r="V246" s="9">
        <v>46189.853409826392</v>
      </c>
    </row>
    <row r="247" spans="1:22" x14ac:dyDescent="0.2">
      <c r="A247" s="8">
        <v>46054</v>
      </c>
      <c r="B247">
        <v>4</v>
      </c>
      <c r="C247">
        <v>1</v>
      </c>
      <c r="D247">
        <v>112394.96</v>
      </c>
      <c r="E247">
        <v>0</v>
      </c>
      <c r="F247">
        <v>449579.84</v>
      </c>
      <c r="G247">
        <v>0</v>
      </c>
      <c r="H247">
        <v>0</v>
      </c>
      <c r="I247">
        <v>449579.84</v>
      </c>
      <c r="J247">
        <v>44000</v>
      </c>
      <c r="K247">
        <v>0</v>
      </c>
      <c r="L247">
        <v>85420.160000000003</v>
      </c>
      <c r="M247">
        <v>579000</v>
      </c>
      <c r="N247">
        <v>0</v>
      </c>
      <c r="O247">
        <v>449579.84</v>
      </c>
      <c r="P247">
        <v>213250</v>
      </c>
      <c r="Q247">
        <v>236329.84</v>
      </c>
      <c r="R247">
        <v>0</v>
      </c>
      <c r="S247">
        <v>4</v>
      </c>
      <c r="T247">
        <v>0</v>
      </c>
      <c r="U247">
        <v>0</v>
      </c>
      <c r="V247" s="9">
        <v>46189.853409826392</v>
      </c>
    </row>
    <row r="248" spans="1:22" x14ac:dyDescent="0.2">
      <c r="A248" s="8">
        <v>46055</v>
      </c>
      <c r="B248">
        <v>20</v>
      </c>
      <c r="C248">
        <v>1.6</v>
      </c>
      <c r="D248">
        <v>94642.857000000004</v>
      </c>
      <c r="E248">
        <v>0</v>
      </c>
      <c r="F248">
        <v>1892857.15</v>
      </c>
      <c r="G248">
        <v>0</v>
      </c>
      <c r="H248">
        <v>0</v>
      </c>
      <c r="I248">
        <v>1892857.15</v>
      </c>
      <c r="J248">
        <v>68000</v>
      </c>
      <c r="K248">
        <v>0</v>
      </c>
      <c r="L248">
        <v>359642.85</v>
      </c>
      <c r="M248">
        <v>2320500</v>
      </c>
      <c r="N248">
        <v>58823.53</v>
      </c>
      <c r="O248">
        <v>1834033.62</v>
      </c>
      <c r="P248">
        <v>538695</v>
      </c>
      <c r="Q248">
        <v>1295338.6200000001</v>
      </c>
      <c r="R248">
        <v>0</v>
      </c>
      <c r="S248">
        <v>31</v>
      </c>
      <c r="T248">
        <v>0</v>
      </c>
      <c r="U248">
        <v>0</v>
      </c>
      <c r="V248" s="9">
        <v>46189.853409826392</v>
      </c>
    </row>
    <row r="249" spans="1:22" x14ac:dyDescent="0.2">
      <c r="A249" s="8">
        <v>46056</v>
      </c>
      <c r="B249">
        <v>19</v>
      </c>
      <c r="C249">
        <v>2</v>
      </c>
      <c r="D249">
        <v>137214.06400000001</v>
      </c>
      <c r="E249">
        <v>0</v>
      </c>
      <c r="F249">
        <v>2611268.9</v>
      </c>
      <c r="G249">
        <v>-4201.68</v>
      </c>
      <c r="H249">
        <v>0</v>
      </c>
      <c r="I249">
        <v>2607067.2200000002</v>
      </c>
      <c r="J249">
        <v>52000</v>
      </c>
      <c r="K249">
        <v>0</v>
      </c>
      <c r="L249">
        <v>478432.78</v>
      </c>
      <c r="M249">
        <v>3137500</v>
      </c>
      <c r="N249">
        <v>29411.759999999998</v>
      </c>
      <c r="O249">
        <v>2577655.46</v>
      </c>
      <c r="P249">
        <v>782412</v>
      </c>
      <c r="Q249">
        <v>1795243.46</v>
      </c>
      <c r="R249">
        <v>0</v>
      </c>
      <c r="S249">
        <v>38</v>
      </c>
      <c r="T249">
        <v>0</v>
      </c>
      <c r="U249">
        <v>0</v>
      </c>
      <c r="V249" s="9">
        <v>46189.853409826392</v>
      </c>
    </row>
    <row r="250" spans="1:22" x14ac:dyDescent="0.2">
      <c r="A250" s="8">
        <v>46057</v>
      </c>
      <c r="B250">
        <v>15</v>
      </c>
      <c r="C250">
        <v>1.8</v>
      </c>
      <c r="D250">
        <v>128291.317</v>
      </c>
      <c r="E250">
        <v>0</v>
      </c>
      <c r="F250">
        <v>1924369.76</v>
      </c>
      <c r="G250">
        <v>0</v>
      </c>
      <c r="H250">
        <v>0</v>
      </c>
      <c r="I250">
        <v>1924369.76</v>
      </c>
      <c r="J250">
        <v>68000</v>
      </c>
      <c r="K250">
        <v>0</v>
      </c>
      <c r="L250">
        <v>365630.24</v>
      </c>
      <c r="M250">
        <v>2358000</v>
      </c>
      <c r="N250">
        <v>0</v>
      </c>
      <c r="O250">
        <v>1924369.76</v>
      </c>
      <c r="P250">
        <v>509380</v>
      </c>
      <c r="Q250">
        <v>1414989.76</v>
      </c>
      <c r="R250">
        <v>0</v>
      </c>
      <c r="S250">
        <v>27</v>
      </c>
      <c r="T250">
        <v>0</v>
      </c>
      <c r="U250">
        <v>0</v>
      </c>
      <c r="V250" s="9">
        <v>46189.853409826392</v>
      </c>
    </row>
    <row r="251" spans="1:22" x14ac:dyDescent="0.2">
      <c r="A251" s="8">
        <v>46058</v>
      </c>
      <c r="B251">
        <v>21</v>
      </c>
      <c r="C251">
        <v>1.5</v>
      </c>
      <c r="D251">
        <v>101617.04700000001</v>
      </c>
      <c r="E251">
        <v>0</v>
      </c>
      <c r="F251">
        <v>2133958</v>
      </c>
      <c r="G251">
        <v>0</v>
      </c>
      <c r="H251">
        <v>0</v>
      </c>
      <c r="I251">
        <v>2133958</v>
      </c>
      <c r="J251">
        <v>28000</v>
      </c>
      <c r="K251">
        <v>0</v>
      </c>
      <c r="L251">
        <v>360042</v>
      </c>
      <c r="M251">
        <v>2522000</v>
      </c>
      <c r="N251">
        <v>140000</v>
      </c>
      <c r="O251">
        <v>1993958</v>
      </c>
      <c r="P251">
        <v>525891</v>
      </c>
      <c r="Q251">
        <v>1468067</v>
      </c>
      <c r="R251">
        <v>0</v>
      </c>
      <c r="S251">
        <v>31</v>
      </c>
      <c r="T251">
        <v>0</v>
      </c>
      <c r="U251">
        <v>0</v>
      </c>
      <c r="V251" s="9">
        <v>46189.853409826392</v>
      </c>
    </row>
    <row r="252" spans="1:22" x14ac:dyDescent="0.2">
      <c r="A252" s="8">
        <v>46059</v>
      </c>
      <c r="B252">
        <v>18</v>
      </c>
      <c r="C252">
        <v>1.8</v>
      </c>
      <c r="D252">
        <v>113459.849</v>
      </c>
      <c r="E252">
        <v>0</v>
      </c>
      <c r="F252">
        <v>2042277.29</v>
      </c>
      <c r="G252">
        <v>0</v>
      </c>
      <c r="H252">
        <v>0</v>
      </c>
      <c r="I252">
        <v>2042277.29</v>
      </c>
      <c r="J252">
        <v>60000</v>
      </c>
      <c r="K252">
        <v>0</v>
      </c>
      <c r="L252">
        <v>378722.71</v>
      </c>
      <c r="M252">
        <v>2481000</v>
      </c>
      <c r="N252">
        <v>46218.49</v>
      </c>
      <c r="O252">
        <v>1996058.8</v>
      </c>
      <c r="P252">
        <v>491791</v>
      </c>
      <c r="Q252">
        <v>1504267.8</v>
      </c>
      <c r="R252">
        <v>0</v>
      </c>
      <c r="S252">
        <v>33</v>
      </c>
      <c r="T252">
        <v>0</v>
      </c>
      <c r="U252">
        <v>0</v>
      </c>
      <c r="V252" s="9">
        <v>46189.853409826392</v>
      </c>
    </row>
    <row r="253" spans="1:22" x14ac:dyDescent="0.2">
      <c r="A253" s="8">
        <v>46060</v>
      </c>
      <c r="B253">
        <v>16</v>
      </c>
      <c r="C253">
        <v>1.8</v>
      </c>
      <c r="D253">
        <v>118933.823</v>
      </c>
      <c r="E253">
        <v>0</v>
      </c>
      <c r="F253">
        <v>1902941.18</v>
      </c>
      <c r="G253">
        <v>0</v>
      </c>
      <c r="H253">
        <v>0</v>
      </c>
      <c r="I253">
        <v>1902941.18</v>
      </c>
      <c r="J253">
        <v>44000</v>
      </c>
      <c r="K253">
        <v>0</v>
      </c>
      <c r="L253">
        <v>361558.82</v>
      </c>
      <c r="M253">
        <v>2308500</v>
      </c>
      <c r="N253">
        <v>0</v>
      </c>
      <c r="O253">
        <v>1902941.18</v>
      </c>
      <c r="P253">
        <v>471929</v>
      </c>
      <c r="Q253">
        <v>1431012.18</v>
      </c>
      <c r="R253">
        <v>0</v>
      </c>
      <c r="S253">
        <v>29</v>
      </c>
      <c r="T253">
        <v>0</v>
      </c>
      <c r="U253">
        <v>0</v>
      </c>
      <c r="V253" s="9">
        <v>46189.853409826392</v>
      </c>
    </row>
    <row r="254" spans="1:22" x14ac:dyDescent="0.2">
      <c r="A254" s="8">
        <v>46061</v>
      </c>
      <c r="B254">
        <v>3</v>
      </c>
      <c r="C254">
        <v>1</v>
      </c>
      <c r="D254">
        <v>75630.252999999997</v>
      </c>
      <c r="E254">
        <v>0</v>
      </c>
      <c r="F254">
        <v>226890.76</v>
      </c>
      <c r="G254">
        <v>0</v>
      </c>
      <c r="H254">
        <v>0</v>
      </c>
      <c r="I254">
        <v>226890.76</v>
      </c>
      <c r="J254">
        <v>32000</v>
      </c>
      <c r="K254">
        <v>0</v>
      </c>
      <c r="L254">
        <v>43109.24</v>
      </c>
      <c r="M254">
        <v>302000</v>
      </c>
      <c r="N254">
        <v>0</v>
      </c>
      <c r="O254">
        <v>226890.76</v>
      </c>
      <c r="P254">
        <v>67098</v>
      </c>
      <c r="Q254">
        <v>159792.76</v>
      </c>
      <c r="R254">
        <v>0</v>
      </c>
      <c r="S254">
        <v>3</v>
      </c>
      <c r="T254">
        <v>0</v>
      </c>
      <c r="U254">
        <v>0</v>
      </c>
      <c r="V254" s="9">
        <v>46189.853409826392</v>
      </c>
    </row>
    <row r="255" spans="1:22" x14ac:dyDescent="0.2">
      <c r="A255" s="8">
        <v>46062</v>
      </c>
      <c r="B255">
        <v>18</v>
      </c>
      <c r="C255">
        <v>1.7</v>
      </c>
      <c r="D255">
        <v>110550.887</v>
      </c>
      <c r="E255">
        <v>0</v>
      </c>
      <c r="F255">
        <v>1989915.98</v>
      </c>
      <c r="G255">
        <v>0</v>
      </c>
      <c r="H255">
        <v>0</v>
      </c>
      <c r="I255">
        <v>1989915.98</v>
      </c>
      <c r="J255">
        <v>28000</v>
      </c>
      <c r="K255">
        <v>0</v>
      </c>
      <c r="L255">
        <v>378084.02</v>
      </c>
      <c r="M255">
        <v>2396000</v>
      </c>
      <c r="N255">
        <v>0</v>
      </c>
      <c r="O255">
        <v>1989915.98</v>
      </c>
      <c r="P255">
        <v>518108</v>
      </c>
      <c r="Q255">
        <v>1471807.98</v>
      </c>
      <c r="R255">
        <v>0</v>
      </c>
      <c r="S255">
        <v>31</v>
      </c>
      <c r="T255">
        <v>0</v>
      </c>
      <c r="U255">
        <v>0</v>
      </c>
      <c r="V255" s="9">
        <v>46189.853409826392</v>
      </c>
    </row>
    <row r="256" spans="1:22" x14ac:dyDescent="0.2">
      <c r="A256" s="8">
        <v>46063</v>
      </c>
      <c r="B256">
        <v>19</v>
      </c>
      <c r="C256">
        <v>2.2000000000000002</v>
      </c>
      <c r="D256">
        <v>141242.81299999999</v>
      </c>
      <c r="E256">
        <v>-1</v>
      </c>
      <c r="F256">
        <v>2896050.42</v>
      </c>
      <c r="G256">
        <v>-120000</v>
      </c>
      <c r="H256">
        <v>-92436.97</v>
      </c>
      <c r="I256">
        <v>2683613.4500000002</v>
      </c>
      <c r="J256">
        <v>36000</v>
      </c>
      <c r="K256">
        <v>0</v>
      </c>
      <c r="L256">
        <v>509886.55</v>
      </c>
      <c r="M256">
        <v>3229500</v>
      </c>
      <c r="N256">
        <v>165546.22</v>
      </c>
      <c r="O256">
        <v>2518067.23</v>
      </c>
      <c r="P256">
        <v>785922</v>
      </c>
      <c r="Q256">
        <v>1732145.23</v>
      </c>
      <c r="R256">
        <v>0</v>
      </c>
      <c r="S256">
        <v>41</v>
      </c>
      <c r="T256">
        <v>0</v>
      </c>
      <c r="U256">
        <v>0</v>
      </c>
      <c r="V256" s="9">
        <v>46189.853409826392</v>
      </c>
    </row>
    <row r="257" spans="1:22" x14ac:dyDescent="0.2">
      <c r="A257" s="8">
        <v>46064</v>
      </c>
      <c r="B257">
        <v>17</v>
      </c>
      <c r="C257">
        <v>2.2000000000000002</v>
      </c>
      <c r="D257">
        <v>162274.84</v>
      </c>
      <c r="E257">
        <v>0</v>
      </c>
      <c r="F257">
        <v>2775479.01</v>
      </c>
      <c r="G257">
        <v>-16806.72</v>
      </c>
      <c r="H257">
        <v>0</v>
      </c>
      <c r="I257">
        <v>2758672.29</v>
      </c>
      <c r="J257">
        <v>52000</v>
      </c>
      <c r="K257">
        <v>0</v>
      </c>
      <c r="L257">
        <v>509327.71</v>
      </c>
      <c r="M257">
        <v>3320000</v>
      </c>
      <c r="N257">
        <v>0</v>
      </c>
      <c r="O257">
        <v>2758672.29</v>
      </c>
      <c r="P257">
        <v>658947</v>
      </c>
      <c r="Q257">
        <v>2099725.29</v>
      </c>
      <c r="R257">
        <v>0</v>
      </c>
      <c r="S257">
        <v>37</v>
      </c>
      <c r="T257">
        <v>0</v>
      </c>
      <c r="U257">
        <v>0</v>
      </c>
      <c r="V257" s="9">
        <v>46189.853409826392</v>
      </c>
    </row>
    <row r="258" spans="1:22" x14ac:dyDescent="0.2">
      <c r="A258" s="8">
        <v>46065</v>
      </c>
      <c r="B258">
        <v>21</v>
      </c>
      <c r="C258">
        <v>2.6</v>
      </c>
      <c r="D258">
        <v>158583.43299999999</v>
      </c>
      <c r="E258">
        <v>-4</v>
      </c>
      <c r="F258">
        <v>3530302.53</v>
      </c>
      <c r="G258">
        <v>-42016.81</v>
      </c>
      <c r="H258">
        <v>-298319.34000000003</v>
      </c>
      <c r="I258">
        <v>3189966.38</v>
      </c>
      <c r="J258">
        <v>24000</v>
      </c>
      <c r="K258">
        <v>0</v>
      </c>
      <c r="L258">
        <v>592033.62</v>
      </c>
      <c r="M258">
        <v>3806000</v>
      </c>
      <c r="N258">
        <v>0</v>
      </c>
      <c r="O258">
        <v>3189966.38</v>
      </c>
      <c r="P258">
        <v>748151</v>
      </c>
      <c r="Q258">
        <v>2441815.38</v>
      </c>
      <c r="R258">
        <v>300000</v>
      </c>
      <c r="S258">
        <v>53</v>
      </c>
      <c r="T258">
        <v>0</v>
      </c>
      <c r="U258">
        <v>300000</v>
      </c>
      <c r="V258" s="9">
        <v>46189.853409826392</v>
      </c>
    </row>
    <row r="259" spans="1:22" x14ac:dyDescent="0.2">
      <c r="A259" s="8">
        <v>46066</v>
      </c>
      <c r="B259">
        <v>16</v>
      </c>
      <c r="C259">
        <v>2.2000000000000002</v>
      </c>
      <c r="D259">
        <v>94661.239000000001</v>
      </c>
      <c r="E259">
        <v>0</v>
      </c>
      <c r="F259">
        <v>1531386.55</v>
      </c>
      <c r="G259">
        <v>-16806.72</v>
      </c>
      <c r="H259">
        <v>0</v>
      </c>
      <c r="I259">
        <v>1514579.83</v>
      </c>
      <c r="J259">
        <v>28000</v>
      </c>
      <c r="K259">
        <v>0</v>
      </c>
      <c r="L259">
        <v>275420.17</v>
      </c>
      <c r="M259">
        <v>1818000</v>
      </c>
      <c r="N259">
        <v>0</v>
      </c>
      <c r="O259">
        <v>1514579.83</v>
      </c>
      <c r="P259">
        <v>450617</v>
      </c>
      <c r="Q259">
        <v>1063962.83</v>
      </c>
      <c r="R259">
        <v>0</v>
      </c>
      <c r="S259">
        <v>36</v>
      </c>
      <c r="T259">
        <v>0</v>
      </c>
      <c r="U259">
        <v>0</v>
      </c>
      <c r="V259" s="9">
        <v>46189.853409826392</v>
      </c>
    </row>
    <row r="260" spans="1:22" x14ac:dyDescent="0.2">
      <c r="A260" s="8">
        <v>46067</v>
      </c>
      <c r="B260">
        <v>37</v>
      </c>
      <c r="C260">
        <v>2.2000000000000002</v>
      </c>
      <c r="D260">
        <v>137667.49900000001</v>
      </c>
      <c r="E260">
        <v>0</v>
      </c>
      <c r="F260">
        <v>5169327.68</v>
      </c>
      <c r="G260">
        <v>-75630.19</v>
      </c>
      <c r="H260">
        <v>0</v>
      </c>
      <c r="I260">
        <v>5093697.49</v>
      </c>
      <c r="J260">
        <v>44000</v>
      </c>
      <c r="K260">
        <v>0</v>
      </c>
      <c r="L260">
        <v>967802.51</v>
      </c>
      <c r="M260">
        <v>6105500</v>
      </c>
      <c r="N260">
        <v>0</v>
      </c>
      <c r="O260">
        <v>5093697.49</v>
      </c>
      <c r="P260">
        <v>1205705</v>
      </c>
      <c r="Q260">
        <v>3887992.49</v>
      </c>
      <c r="R260">
        <v>0</v>
      </c>
      <c r="S260">
        <v>83</v>
      </c>
      <c r="T260">
        <v>0</v>
      </c>
      <c r="U260">
        <v>0</v>
      </c>
      <c r="V260" s="9">
        <v>46189.853409826392</v>
      </c>
    </row>
    <row r="261" spans="1:22" x14ac:dyDescent="0.2">
      <c r="A261" s="8">
        <v>46068</v>
      </c>
      <c r="B261">
        <v>3</v>
      </c>
      <c r="C261">
        <v>1</v>
      </c>
      <c r="D261">
        <v>86834.732999999993</v>
      </c>
      <c r="E261">
        <v>0</v>
      </c>
      <c r="F261">
        <v>260504.2</v>
      </c>
      <c r="G261">
        <v>0</v>
      </c>
      <c r="H261">
        <v>0</v>
      </c>
      <c r="I261">
        <v>260504.2</v>
      </c>
      <c r="J261">
        <v>36000</v>
      </c>
      <c r="K261">
        <v>0</v>
      </c>
      <c r="L261">
        <v>49495.8</v>
      </c>
      <c r="M261">
        <v>346000</v>
      </c>
      <c r="N261">
        <v>0</v>
      </c>
      <c r="O261">
        <v>260504.2</v>
      </c>
      <c r="P261">
        <v>96507</v>
      </c>
      <c r="Q261">
        <v>163997.20000000001</v>
      </c>
      <c r="R261">
        <v>0</v>
      </c>
      <c r="S261">
        <v>3</v>
      </c>
      <c r="T261">
        <v>0</v>
      </c>
      <c r="U261">
        <v>0</v>
      </c>
      <c r="V261" s="9">
        <v>46189.853409826392</v>
      </c>
    </row>
    <row r="262" spans="1:22" x14ac:dyDescent="0.2">
      <c r="A262" s="8">
        <v>46069</v>
      </c>
      <c r="B262">
        <v>22</v>
      </c>
      <c r="C262">
        <v>1.9</v>
      </c>
      <c r="D262">
        <v>127987.395</v>
      </c>
      <c r="E262">
        <v>0</v>
      </c>
      <c r="F262">
        <v>2815722.69</v>
      </c>
      <c r="G262">
        <v>0</v>
      </c>
      <c r="H262">
        <v>0</v>
      </c>
      <c r="I262">
        <v>2815722.69</v>
      </c>
      <c r="J262">
        <v>52000</v>
      </c>
      <c r="K262">
        <v>0</v>
      </c>
      <c r="L262">
        <v>504777.31</v>
      </c>
      <c r="M262">
        <v>3372500</v>
      </c>
      <c r="N262">
        <v>0</v>
      </c>
      <c r="O262">
        <v>2815722.69</v>
      </c>
      <c r="P262">
        <v>825327</v>
      </c>
      <c r="Q262">
        <v>1990395.69</v>
      </c>
      <c r="R262">
        <v>0</v>
      </c>
      <c r="S262">
        <v>41</v>
      </c>
      <c r="T262">
        <v>0</v>
      </c>
      <c r="U262">
        <v>0</v>
      </c>
      <c r="V262" s="9">
        <v>46189.853409826392</v>
      </c>
    </row>
    <row r="263" spans="1:22" x14ac:dyDescent="0.2">
      <c r="A263" s="8">
        <v>46070</v>
      </c>
      <c r="B263">
        <v>28</v>
      </c>
      <c r="C263">
        <v>2.1</v>
      </c>
      <c r="D263">
        <v>185421.66800000001</v>
      </c>
      <c r="E263">
        <v>-1</v>
      </c>
      <c r="F263">
        <v>6024369.75</v>
      </c>
      <c r="G263">
        <v>-20798.310000000001</v>
      </c>
      <c r="H263">
        <v>-1777764.71</v>
      </c>
      <c r="I263">
        <v>4225806.7300000004</v>
      </c>
      <c r="J263">
        <v>40000</v>
      </c>
      <c r="K263">
        <v>0</v>
      </c>
      <c r="L263">
        <v>986443.27</v>
      </c>
      <c r="M263">
        <v>5252250</v>
      </c>
      <c r="N263">
        <v>0</v>
      </c>
      <c r="O263">
        <v>5191806.7300000004</v>
      </c>
      <c r="P263">
        <v>1598547</v>
      </c>
      <c r="Q263">
        <v>3593259.73</v>
      </c>
      <c r="R263">
        <v>0</v>
      </c>
      <c r="S263">
        <v>60</v>
      </c>
      <c r="T263">
        <v>0</v>
      </c>
      <c r="U263">
        <v>0</v>
      </c>
      <c r="V263" s="9">
        <v>46189.853409826392</v>
      </c>
    </row>
    <row r="264" spans="1:22" x14ac:dyDescent="0.2">
      <c r="A264" s="8">
        <v>46071</v>
      </c>
      <c r="B264">
        <v>17</v>
      </c>
      <c r="C264">
        <v>2.9</v>
      </c>
      <c r="D264">
        <v>200113.69399999999</v>
      </c>
      <c r="E264">
        <v>-4</v>
      </c>
      <c r="F264">
        <v>4384285.71</v>
      </c>
      <c r="G264">
        <v>-460252.07</v>
      </c>
      <c r="H264">
        <v>-395168.07</v>
      </c>
      <c r="I264">
        <v>3528865.57</v>
      </c>
      <c r="J264">
        <v>36000</v>
      </c>
      <c r="K264">
        <v>0</v>
      </c>
      <c r="L264">
        <v>657184.43000000005</v>
      </c>
      <c r="M264">
        <v>4222050</v>
      </c>
      <c r="N264">
        <v>0</v>
      </c>
      <c r="O264">
        <v>3528865.57</v>
      </c>
      <c r="P264">
        <v>1440869</v>
      </c>
      <c r="Q264">
        <v>2087996.57</v>
      </c>
      <c r="R264">
        <v>0</v>
      </c>
      <c r="S264">
        <v>49</v>
      </c>
      <c r="T264">
        <v>0</v>
      </c>
      <c r="U264">
        <v>0</v>
      </c>
      <c r="V264" s="9">
        <v>46189.853409826392</v>
      </c>
    </row>
    <row r="265" spans="1:22" x14ac:dyDescent="0.2">
      <c r="A265" s="8">
        <v>46072</v>
      </c>
      <c r="B265">
        <v>21</v>
      </c>
      <c r="C265">
        <v>3.1</v>
      </c>
      <c r="D265">
        <v>197565.42499999999</v>
      </c>
      <c r="E265">
        <v>0</v>
      </c>
      <c r="F265">
        <v>4148873.93</v>
      </c>
      <c r="G265">
        <v>0</v>
      </c>
      <c r="H265">
        <v>0</v>
      </c>
      <c r="I265">
        <v>4148873.93</v>
      </c>
      <c r="J265">
        <v>44000</v>
      </c>
      <c r="K265">
        <v>0</v>
      </c>
      <c r="L265">
        <v>690626.07</v>
      </c>
      <c r="M265">
        <v>4883500</v>
      </c>
      <c r="N265">
        <v>0</v>
      </c>
      <c r="O265">
        <v>4148873.93</v>
      </c>
      <c r="P265">
        <v>1329526</v>
      </c>
      <c r="Q265">
        <v>2819347.93</v>
      </c>
      <c r="R265">
        <v>0</v>
      </c>
      <c r="S265">
        <v>65</v>
      </c>
      <c r="T265">
        <v>0</v>
      </c>
      <c r="U265">
        <v>0</v>
      </c>
      <c r="V265" s="9">
        <v>46189.853409826392</v>
      </c>
    </row>
    <row r="266" spans="1:22" x14ac:dyDescent="0.2">
      <c r="A266" s="8">
        <v>46073</v>
      </c>
      <c r="B266">
        <v>17</v>
      </c>
      <c r="C266">
        <v>1.9</v>
      </c>
      <c r="D266">
        <v>94966.88</v>
      </c>
      <c r="E266">
        <v>0</v>
      </c>
      <c r="F266">
        <v>1618638.65</v>
      </c>
      <c r="G266">
        <v>-4201.68</v>
      </c>
      <c r="H266">
        <v>0</v>
      </c>
      <c r="I266">
        <v>1614436.97</v>
      </c>
      <c r="J266">
        <v>25000</v>
      </c>
      <c r="K266">
        <v>0</v>
      </c>
      <c r="L266">
        <v>274063.03000000003</v>
      </c>
      <c r="M266">
        <v>1913500</v>
      </c>
      <c r="N266">
        <v>0</v>
      </c>
      <c r="O266">
        <v>1614436.97</v>
      </c>
      <c r="P266">
        <v>472759</v>
      </c>
      <c r="Q266">
        <v>1141677.97</v>
      </c>
      <c r="R266">
        <v>0</v>
      </c>
      <c r="S266">
        <v>32</v>
      </c>
      <c r="T266">
        <v>0</v>
      </c>
      <c r="U266">
        <v>0</v>
      </c>
      <c r="V266" s="9">
        <v>46189.853409826392</v>
      </c>
    </row>
    <row r="267" spans="1:22" x14ac:dyDescent="0.2">
      <c r="A267" s="8">
        <v>46074</v>
      </c>
      <c r="B267">
        <v>24</v>
      </c>
      <c r="C267">
        <v>2.2000000000000002</v>
      </c>
      <c r="D267">
        <v>126354.692</v>
      </c>
      <c r="E267">
        <v>0</v>
      </c>
      <c r="F267">
        <v>3032512.62</v>
      </c>
      <c r="G267">
        <v>0</v>
      </c>
      <c r="H267">
        <v>0</v>
      </c>
      <c r="I267">
        <v>3032512.62</v>
      </c>
      <c r="J267">
        <v>48000</v>
      </c>
      <c r="K267">
        <v>0</v>
      </c>
      <c r="L267">
        <v>480987.38</v>
      </c>
      <c r="M267">
        <v>3561500</v>
      </c>
      <c r="N267">
        <v>0</v>
      </c>
      <c r="O267">
        <v>3032512.62</v>
      </c>
      <c r="P267">
        <v>955607</v>
      </c>
      <c r="Q267">
        <v>2076905.62</v>
      </c>
      <c r="R267">
        <v>0</v>
      </c>
      <c r="S267">
        <v>54</v>
      </c>
      <c r="T267">
        <v>0</v>
      </c>
      <c r="U267">
        <v>0</v>
      </c>
      <c r="V267" s="9">
        <v>46189.853409826392</v>
      </c>
    </row>
    <row r="268" spans="1:22" x14ac:dyDescent="0.2">
      <c r="A268" s="8">
        <v>46075</v>
      </c>
      <c r="B268">
        <v>5</v>
      </c>
      <c r="C268">
        <v>1.4</v>
      </c>
      <c r="D268">
        <v>100840.336</v>
      </c>
      <c r="E268">
        <v>0</v>
      </c>
      <c r="F268">
        <v>504201.68</v>
      </c>
      <c r="G268">
        <v>0</v>
      </c>
      <c r="H268">
        <v>0</v>
      </c>
      <c r="I268">
        <v>504201.68</v>
      </c>
      <c r="J268">
        <v>52000</v>
      </c>
      <c r="K268">
        <v>0</v>
      </c>
      <c r="L268">
        <v>95798.32</v>
      </c>
      <c r="M268">
        <v>652000</v>
      </c>
      <c r="N268">
        <v>0</v>
      </c>
      <c r="O268">
        <v>504201.68</v>
      </c>
      <c r="P268">
        <v>91851</v>
      </c>
      <c r="Q268">
        <v>412350.68</v>
      </c>
      <c r="R268">
        <v>0</v>
      </c>
      <c r="S268">
        <v>7</v>
      </c>
      <c r="T268">
        <v>0</v>
      </c>
      <c r="U268">
        <v>0</v>
      </c>
      <c r="V268" s="9">
        <v>46189.853409826392</v>
      </c>
    </row>
    <row r="269" spans="1:22" x14ac:dyDescent="0.2">
      <c r="A269" s="8">
        <v>46076</v>
      </c>
      <c r="B269">
        <v>9</v>
      </c>
      <c r="C269">
        <v>3.8</v>
      </c>
      <c r="D269">
        <v>407913.16600000003</v>
      </c>
      <c r="E269">
        <v>0</v>
      </c>
      <c r="F269">
        <v>4138235.3</v>
      </c>
      <c r="G269">
        <v>-467016.8</v>
      </c>
      <c r="H269">
        <v>0</v>
      </c>
      <c r="I269">
        <v>3671218.5</v>
      </c>
      <c r="J269">
        <v>24000</v>
      </c>
      <c r="K269">
        <v>0</v>
      </c>
      <c r="L269">
        <v>697531.5</v>
      </c>
      <c r="M269">
        <v>4392750</v>
      </c>
      <c r="N269">
        <v>0</v>
      </c>
      <c r="O269">
        <v>3671218.5</v>
      </c>
      <c r="P269">
        <v>688665</v>
      </c>
      <c r="Q269">
        <v>2982553.5</v>
      </c>
      <c r="R269">
        <v>0</v>
      </c>
      <c r="S269">
        <v>34</v>
      </c>
      <c r="T269">
        <v>0</v>
      </c>
      <c r="U269">
        <v>0</v>
      </c>
      <c r="V269" s="9">
        <v>46189.853409826392</v>
      </c>
    </row>
    <row r="270" spans="1:22" x14ac:dyDescent="0.2">
      <c r="A270" s="8">
        <v>46077</v>
      </c>
      <c r="B270">
        <v>19</v>
      </c>
      <c r="C270">
        <v>1.6</v>
      </c>
      <c r="D270">
        <v>113104.37699999999</v>
      </c>
      <c r="E270">
        <v>0</v>
      </c>
      <c r="F270">
        <v>2148983.1800000002</v>
      </c>
      <c r="G270">
        <v>0</v>
      </c>
      <c r="H270">
        <v>0</v>
      </c>
      <c r="I270">
        <v>2148983.1800000002</v>
      </c>
      <c r="J270">
        <v>68000</v>
      </c>
      <c r="K270">
        <v>0</v>
      </c>
      <c r="L270">
        <v>372016.82</v>
      </c>
      <c r="M270">
        <v>2589000</v>
      </c>
      <c r="N270">
        <v>142857.14000000001</v>
      </c>
      <c r="O270">
        <v>2006126.04</v>
      </c>
      <c r="P270">
        <v>620380</v>
      </c>
      <c r="Q270">
        <v>1385746.04</v>
      </c>
      <c r="R270">
        <v>0</v>
      </c>
      <c r="S270">
        <v>31</v>
      </c>
      <c r="T270">
        <v>0</v>
      </c>
      <c r="U270">
        <v>0</v>
      </c>
      <c r="V270" s="9">
        <v>46189.853409826392</v>
      </c>
    </row>
    <row r="271" spans="1:22" x14ac:dyDescent="0.2">
      <c r="A271" s="8">
        <v>46078</v>
      </c>
      <c r="B271">
        <v>25</v>
      </c>
      <c r="C271">
        <v>2.2000000000000002</v>
      </c>
      <c r="D271">
        <v>176638.68900000001</v>
      </c>
      <c r="E271">
        <v>-1</v>
      </c>
      <c r="F271">
        <v>4580210.9400000004</v>
      </c>
      <c r="G271">
        <v>-55000</v>
      </c>
      <c r="H271">
        <v>-63025.21</v>
      </c>
      <c r="I271">
        <v>4462185.7300000004</v>
      </c>
      <c r="J271">
        <v>40000</v>
      </c>
      <c r="K271">
        <v>0</v>
      </c>
      <c r="L271">
        <v>847815.27</v>
      </c>
      <c r="M271">
        <v>5350001</v>
      </c>
      <c r="N271">
        <v>1008404.2</v>
      </c>
      <c r="O271">
        <v>3453781.53</v>
      </c>
      <c r="P271">
        <v>824483</v>
      </c>
      <c r="Q271">
        <v>2629298.5299999998</v>
      </c>
      <c r="R271">
        <v>0</v>
      </c>
      <c r="S271">
        <v>57</v>
      </c>
      <c r="T271">
        <v>0</v>
      </c>
      <c r="U271">
        <v>0</v>
      </c>
      <c r="V271" s="9">
        <v>46189.853409826392</v>
      </c>
    </row>
    <row r="272" spans="1:22" x14ac:dyDescent="0.2">
      <c r="A272" s="8">
        <v>46079</v>
      </c>
      <c r="B272">
        <v>17</v>
      </c>
      <c r="C272">
        <v>3.3</v>
      </c>
      <c r="D272">
        <v>195039.54500000001</v>
      </c>
      <c r="E272">
        <v>0</v>
      </c>
      <c r="F272">
        <v>3429957.94</v>
      </c>
      <c r="G272">
        <v>-114285.66</v>
      </c>
      <c r="H272">
        <v>0</v>
      </c>
      <c r="I272">
        <v>3315672.28</v>
      </c>
      <c r="J272">
        <v>52000</v>
      </c>
      <c r="K272">
        <v>0</v>
      </c>
      <c r="L272">
        <v>623327.72</v>
      </c>
      <c r="M272">
        <v>3991000</v>
      </c>
      <c r="N272">
        <v>0</v>
      </c>
      <c r="O272">
        <v>3315672.28</v>
      </c>
      <c r="P272">
        <v>962607</v>
      </c>
      <c r="Q272">
        <v>2353065.2799999998</v>
      </c>
      <c r="R272">
        <v>70000</v>
      </c>
      <c r="S272">
        <v>56</v>
      </c>
      <c r="T272">
        <v>0</v>
      </c>
      <c r="U272">
        <v>70000</v>
      </c>
      <c r="V272" s="9">
        <v>46189.853409826392</v>
      </c>
    </row>
    <row r="273" spans="1:22" x14ac:dyDescent="0.2">
      <c r="A273" s="8">
        <v>46080</v>
      </c>
      <c r="B273">
        <v>28</v>
      </c>
      <c r="C273">
        <v>2.1</v>
      </c>
      <c r="D273">
        <v>122584.034</v>
      </c>
      <c r="E273">
        <v>0</v>
      </c>
      <c r="F273">
        <v>3436554.65</v>
      </c>
      <c r="G273">
        <v>-4201.68</v>
      </c>
      <c r="H273">
        <v>0</v>
      </c>
      <c r="I273">
        <v>3432352.97</v>
      </c>
      <c r="J273">
        <v>48000</v>
      </c>
      <c r="K273">
        <v>0</v>
      </c>
      <c r="L273">
        <v>652147.03</v>
      </c>
      <c r="M273">
        <v>4132500</v>
      </c>
      <c r="N273">
        <v>0</v>
      </c>
      <c r="O273">
        <v>3432352.97</v>
      </c>
      <c r="P273">
        <v>900713</v>
      </c>
      <c r="Q273">
        <v>2531639.9700000002</v>
      </c>
      <c r="R273">
        <v>0</v>
      </c>
      <c r="S273">
        <v>59</v>
      </c>
      <c r="T273">
        <v>0</v>
      </c>
      <c r="U273">
        <v>0</v>
      </c>
      <c r="V273" s="9">
        <v>46189.853409826392</v>
      </c>
    </row>
    <row r="274" spans="1:22" x14ac:dyDescent="0.2">
      <c r="A274" s="8">
        <v>46081</v>
      </c>
      <c r="B274">
        <v>32</v>
      </c>
      <c r="C274">
        <v>14.8</v>
      </c>
      <c r="D274">
        <v>519688.68199999997</v>
      </c>
      <c r="E274">
        <v>0</v>
      </c>
      <c r="F274">
        <v>22228033.559999999</v>
      </c>
      <c r="G274">
        <v>-5597995.7300000004</v>
      </c>
      <c r="H274">
        <v>0</v>
      </c>
      <c r="I274">
        <v>16630037.83</v>
      </c>
      <c r="J274">
        <v>40000</v>
      </c>
      <c r="K274">
        <v>0</v>
      </c>
      <c r="L274">
        <v>3143747.17</v>
      </c>
      <c r="M274">
        <v>19813785</v>
      </c>
      <c r="N274">
        <v>285714.28000000003</v>
      </c>
      <c r="O274">
        <v>16344323.550000001</v>
      </c>
      <c r="P274">
        <v>6504475</v>
      </c>
      <c r="Q274">
        <v>9839848.5500000007</v>
      </c>
      <c r="R274">
        <v>0</v>
      </c>
      <c r="S274">
        <v>475</v>
      </c>
      <c r="T274">
        <v>0</v>
      </c>
      <c r="U274">
        <v>0</v>
      </c>
      <c r="V274" s="9">
        <v>46189.853409826392</v>
      </c>
    </row>
    <row r="275" spans="1:22" x14ac:dyDescent="0.2">
      <c r="A275" s="8">
        <v>46082</v>
      </c>
      <c r="B275">
        <v>14</v>
      </c>
      <c r="C275">
        <v>1.8</v>
      </c>
      <c r="D275">
        <v>78031.210000000006</v>
      </c>
      <c r="E275">
        <v>0</v>
      </c>
      <c r="F275">
        <v>1092436.95</v>
      </c>
      <c r="G275">
        <v>0</v>
      </c>
      <c r="H275">
        <v>0</v>
      </c>
      <c r="I275">
        <v>1092436.95</v>
      </c>
      <c r="J275">
        <v>0</v>
      </c>
      <c r="K275">
        <v>0</v>
      </c>
      <c r="L275">
        <v>207563.05</v>
      </c>
      <c r="M275">
        <v>1300000</v>
      </c>
      <c r="N275">
        <v>0</v>
      </c>
      <c r="O275">
        <v>1092436.95</v>
      </c>
      <c r="P275">
        <v>312819</v>
      </c>
      <c r="Q275">
        <v>779617.95</v>
      </c>
      <c r="R275">
        <v>0</v>
      </c>
      <c r="S275">
        <v>25</v>
      </c>
      <c r="T275">
        <v>0</v>
      </c>
      <c r="U275">
        <v>0</v>
      </c>
      <c r="V275" s="9">
        <v>46189.853409826392</v>
      </c>
    </row>
    <row r="276" spans="1:22" x14ac:dyDescent="0.2">
      <c r="A276" s="8">
        <v>46083</v>
      </c>
      <c r="B276">
        <v>28</v>
      </c>
      <c r="C276">
        <v>2.9</v>
      </c>
      <c r="D276">
        <v>143496.69899999999</v>
      </c>
      <c r="E276">
        <v>0</v>
      </c>
      <c r="F276">
        <v>4022109.27</v>
      </c>
      <c r="G276">
        <v>-4201.68</v>
      </c>
      <c r="H276">
        <v>0</v>
      </c>
      <c r="I276">
        <v>4017907.59</v>
      </c>
      <c r="J276">
        <v>68000</v>
      </c>
      <c r="K276">
        <v>0</v>
      </c>
      <c r="L276">
        <v>678092.41</v>
      </c>
      <c r="M276">
        <v>4764000</v>
      </c>
      <c r="N276">
        <v>0</v>
      </c>
      <c r="O276">
        <v>4017907.59</v>
      </c>
      <c r="P276">
        <v>1045598</v>
      </c>
      <c r="Q276">
        <v>2972309.59</v>
      </c>
      <c r="R276">
        <v>0</v>
      </c>
      <c r="S276">
        <v>82</v>
      </c>
      <c r="T276">
        <v>0</v>
      </c>
      <c r="U276">
        <v>0</v>
      </c>
      <c r="V276" s="9">
        <v>46189.853409826392</v>
      </c>
    </row>
    <row r="277" spans="1:22" x14ac:dyDescent="0.2">
      <c r="A277" s="8">
        <v>46084</v>
      </c>
      <c r="B277">
        <v>16</v>
      </c>
      <c r="C277">
        <v>2.6</v>
      </c>
      <c r="D277">
        <v>158752.625</v>
      </c>
      <c r="E277">
        <v>0</v>
      </c>
      <c r="F277">
        <v>2624075.6</v>
      </c>
      <c r="G277">
        <v>-84033.59</v>
      </c>
      <c r="H277">
        <v>0</v>
      </c>
      <c r="I277">
        <v>2540042.0099999998</v>
      </c>
      <c r="J277">
        <v>76000</v>
      </c>
      <c r="K277">
        <v>0</v>
      </c>
      <c r="L277">
        <v>475957.99</v>
      </c>
      <c r="M277">
        <v>3092000</v>
      </c>
      <c r="N277">
        <v>0</v>
      </c>
      <c r="O277">
        <v>2540042.0099999998</v>
      </c>
      <c r="P277">
        <v>765429</v>
      </c>
      <c r="Q277">
        <v>1774613.01</v>
      </c>
      <c r="R277">
        <v>0</v>
      </c>
      <c r="S277">
        <v>41</v>
      </c>
      <c r="T277">
        <v>0</v>
      </c>
      <c r="U277">
        <v>0</v>
      </c>
      <c r="V277" s="9">
        <v>46189.853409826392</v>
      </c>
    </row>
    <row r="278" spans="1:22" x14ac:dyDescent="0.2">
      <c r="A278" s="8">
        <v>46085</v>
      </c>
      <c r="B278">
        <v>22</v>
      </c>
      <c r="C278">
        <v>2.9</v>
      </c>
      <c r="D278">
        <v>184313.98</v>
      </c>
      <c r="E278">
        <v>0</v>
      </c>
      <c r="F278">
        <v>4068352.89</v>
      </c>
      <c r="G278">
        <v>-13445.32</v>
      </c>
      <c r="H278">
        <v>0</v>
      </c>
      <c r="I278">
        <v>4054907.57</v>
      </c>
      <c r="J278">
        <v>124000</v>
      </c>
      <c r="K278">
        <v>0</v>
      </c>
      <c r="L278">
        <v>735092.43</v>
      </c>
      <c r="M278">
        <v>4914000</v>
      </c>
      <c r="N278">
        <v>159663.87</v>
      </c>
      <c r="O278">
        <v>3895243.7</v>
      </c>
      <c r="P278">
        <v>1096062</v>
      </c>
      <c r="Q278">
        <v>2799181.7</v>
      </c>
      <c r="R278">
        <v>0</v>
      </c>
      <c r="S278">
        <v>64</v>
      </c>
      <c r="T278">
        <v>0</v>
      </c>
      <c r="U278">
        <v>0</v>
      </c>
      <c r="V278" s="9">
        <v>46189.853409826392</v>
      </c>
    </row>
    <row r="279" spans="1:22" x14ac:dyDescent="0.2">
      <c r="A279" s="8">
        <v>46086</v>
      </c>
      <c r="B279">
        <v>29</v>
      </c>
      <c r="C279">
        <v>93.3</v>
      </c>
      <c r="D279">
        <v>338112.28499999997</v>
      </c>
      <c r="E279">
        <v>0</v>
      </c>
      <c r="F279">
        <v>9851516.7799999993</v>
      </c>
      <c r="G279">
        <v>-46260.49</v>
      </c>
      <c r="H279">
        <v>0</v>
      </c>
      <c r="I279">
        <v>9805256.2899999991</v>
      </c>
      <c r="J279">
        <v>64000</v>
      </c>
      <c r="K279">
        <v>0</v>
      </c>
      <c r="L279">
        <v>1862998.71</v>
      </c>
      <c r="M279">
        <v>11732255</v>
      </c>
      <c r="N279">
        <v>29411.759999999998</v>
      </c>
      <c r="O279">
        <v>9775844.5299999993</v>
      </c>
      <c r="P279">
        <v>4366585</v>
      </c>
      <c r="Q279">
        <v>5409259.5300000003</v>
      </c>
      <c r="R279">
        <v>0</v>
      </c>
      <c r="S279">
        <v>2705</v>
      </c>
      <c r="T279">
        <v>0</v>
      </c>
      <c r="U279">
        <v>0</v>
      </c>
      <c r="V279" s="9">
        <v>46189.853409826392</v>
      </c>
    </row>
    <row r="280" spans="1:22" x14ac:dyDescent="0.2">
      <c r="A280" s="8">
        <v>46087</v>
      </c>
      <c r="B280">
        <v>25</v>
      </c>
      <c r="C280">
        <v>1.7</v>
      </c>
      <c r="D280">
        <v>113667.227</v>
      </c>
      <c r="E280">
        <v>0</v>
      </c>
      <c r="F280">
        <v>2850084.04</v>
      </c>
      <c r="G280">
        <v>-8403.36</v>
      </c>
      <c r="H280">
        <v>0</v>
      </c>
      <c r="I280">
        <v>2841680.68</v>
      </c>
      <c r="J280">
        <v>60000</v>
      </c>
      <c r="K280">
        <v>0</v>
      </c>
      <c r="L280">
        <v>513319.32</v>
      </c>
      <c r="M280">
        <v>3415000</v>
      </c>
      <c r="N280">
        <v>168067.23</v>
      </c>
      <c r="O280">
        <v>2673613.4500000002</v>
      </c>
      <c r="P280">
        <v>762396</v>
      </c>
      <c r="Q280">
        <v>1911217.45</v>
      </c>
      <c r="R280">
        <v>0</v>
      </c>
      <c r="S280">
        <v>42</v>
      </c>
      <c r="T280">
        <v>0</v>
      </c>
      <c r="U280">
        <v>0</v>
      </c>
      <c r="V280" s="9">
        <v>46189.853409826392</v>
      </c>
    </row>
    <row r="281" spans="1:22" x14ac:dyDescent="0.2">
      <c r="A281" s="8">
        <v>46088</v>
      </c>
      <c r="B281">
        <v>30</v>
      </c>
      <c r="C281">
        <v>2</v>
      </c>
      <c r="D281">
        <v>121376.19100000001</v>
      </c>
      <c r="E281">
        <v>0</v>
      </c>
      <c r="F281">
        <v>3651369.75</v>
      </c>
      <c r="G281">
        <v>-10084.02</v>
      </c>
      <c r="H281">
        <v>0</v>
      </c>
      <c r="I281">
        <v>3641285.73</v>
      </c>
      <c r="J281">
        <v>24000</v>
      </c>
      <c r="K281">
        <v>0</v>
      </c>
      <c r="L281">
        <v>648714.27</v>
      </c>
      <c r="M281">
        <v>4314000</v>
      </c>
      <c r="N281">
        <v>0</v>
      </c>
      <c r="O281">
        <v>3641285.73</v>
      </c>
      <c r="P281">
        <v>1049441</v>
      </c>
      <c r="Q281">
        <v>2591844.73</v>
      </c>
      <c r="R281">
        <v>0</v>
      </c>
      <c r="S281">
        <v>60</v>
      </c>
      <c r="T281">
        <v>0</v>
      </c>
      <c r="U281">
        <v>0</v>
      </c>
      <c r="V281" s="9">
        <v>46189.853409826392</v>
      </c>
    </row>
    <row r="282" spans="1:22" x14ac:dyDescent="0.2">
      <c r="A282" s="8">
        <v>46089</v>
      </c>
      <c r="B282">
        <v>13</v>
      </c>
      <c r="C282">
        <v>2.7</v>
      </c>
      <c r="D282">
        <v>153087.91099999999</v>
      </c>
      <c r="E282">
        <v>0</v>
      </c>
      <c r="F282">
        <v>1990142.85</v>
      </c>
      <c r="G282">
        <v>0</v>
      </c>
      <c r="H282">
        <v>0</v>
      </c>
      <c r="I282">
        <v>1990142.85</v>
      </c>
      <c r="J282">
        <v>48000</v>
      </c>
      <c r="K282">
        <v>0</v>
      </c>
      <c r="L282">
        <v>352857.15</v>
      </c>
      <c r="M282">
        <v>2391000</v>
      </c>
      <c r="N282">
        <v>0</v>
      </c>
      <c r="O282">
        <v>1990142.85</v>
      </c>
      <c r="P282">
        <v>508273</v>
      </c>
      <c r="Q282">
        <v>1481869.85</v>
      </c>
      <c r="R282">
        <v>0</v>
      </c>
      <c r="S282">
        <v>35</v>
      </c>
      <c r="T282">
        <v>0</v>
      </c>
      <c r="U282">
        <v>0</v>
      </c>
      <c r="V282" s="9">
        <v>46189.853409826392</v>
      </c>
    </row>
    <row r="283" spans="1:22" x14ac:dyDescent="0.2">
      <c r="A283" s="8">
        <v>46090</v>
      </c>
      <c r="B283">
        <v>15</v>
      </c>
      <c r="C283">
        <v>1.7</v>
      </c>
      <c r="D283">
        <v>135854.342</v>
      </c>
      <c r="E283">
        <v>0</v>
      </c>
      <c r="F283">
        <v>2054621.84</v>
      </c>
      <c r="G283">
        <v>-37815.11</v>
      </c>
      <c r="H283">
        <v>0</v>
      </c>
      <c r="I283">
        <v>2016806.73</v>
      </c>
      <c r="J283">
        <v>40000</v>
      </c>
      <c r="K283">
        <v>0</v>
      </c>
      <c r="L283">
        <v>383193.27</v>
      </c>
      <c r="M283">
        <v>2440000</v>
      </c>
      <c r="N283">
        <v>0</v>
      </c>
      <c r="O283">
        <v>2016806.73</v>
      </c>
      <c r="P283">
        <v>643793</v>
      </c>
      <c r="Q283">
        <v>1373013.73</v>
      </c>
      <c r="R283">
        <v>0</v>
      </c>
      <c r="S283">
        <v>26</v>
      </c>
      <c r="T283">
        <v>0</v>
      </c>
      <c r="U283">
        <v>0</v>
      </c>
      <c r="V283" s="9">
        <v>46189.853409826392</v>
      </c>
    </row>
    <row r="284" spans="1:22" x14ac:dyDescent="0.2">
      <c r="A284" s="8">
        <v>46091</v>
      </c>
      <c r="B284">
        <v>12</v>
      </c>
      <c r="C284">
        <v>1.7</v>
      </c>
      <c r="D284">
        <v>162230.391</v>
      </c>
      <c r="E284">
        <v>0</v>
      </c>
      <c r="F284">
        <v>1946764.7</v>
      </c>
      <c r="G284">
        <v>0</v>
      </c>
      <c r="H284">
        <v>0</v>
      </c>
      <c r="I284">
        <v>1946764.7</v>
      </c>
      <c r="J284">
        <v>56000</v>
      </c>
      <c r="K284">
        <v>0</v>
      </c>
      <c r="L284">
        <v>363235.3</v>
      </c>
      <c r="M284">
        <v>2366000</v>
      </c>
      <c r="N284">
        <v>0</v>
      </c>
      <c r="O284">
        <v>1946764.7</v>
      </c>
      <c r="P284">
        <v>611237</v>
      </c>
      <c r="Q284">
        <v>1335527.7</v>
      </c>
      <c r="R284">
        <v>285000</v>
      </c>
      <c r="S284">
        <v>20</v>
      </c>
      <c r="T284">
        <v>0</v>
      </c>
      <c r="U284">
        <v>285000</v>
      </c>
      <c r="V284" s="9">
        <v>46189.853409826392</v>
      </c>
    </row>
    <row r="285" spans="1:22" x14ac:dyDescent="0.2">
      <c r="A285" s="8">
        <v>46092</v>
      </c>
      <c r="B285">
        <v>33</v>
      </c>
      <c r="C285">
        <v>20.100000000000001</v>
      </c>
      <c r="D285">
        <v>825965.11300000001</v>
      </c>
      <c r="E285">
        <v>0</v>
      </c>
      <c r="F285">
        <v>35104957.990000002</v>
      </c>
      <c r="G285">
        <v>-7848109.2300000004</v>
      </c>
      <c r="H285">
        <v>0</v>
      </c>
      <c r="I285">
        <v>27256848.760000002</v>
      </c>
      <c r="J285">
        <v>88000</v>
      </c>
      <c r="K285">
        <v>0</v>
      </c>
      <c r="L285">
        <v>5153151.24</v>
      </c>
      <c r="M285">
        <v>32498000</v>
      </c>
      <c r="N285">
        <v>29411.759999999998</v>
      </c>
      <c r="O285">
        <v>27227437</v>
      </c>
      <c r="P285">
        <v>16863349</v>
      </c>
      <c r="Q285">
        <v>10364088</v>
      </c>
      <c r="R285">
        <v>0</v>
      </c>
      <c r="S285">
        <v>664</v>
      </c>
      <c r="T285">
        <v>0</v>
      </c>
      <c r="U285">
        <v>0</v>
      </c>
      <c r="V285" s="9">
        <v>46189.853409826392</v>
      </c>
    </row>
    <row r="286" spans="1:22" x14ac:dyDescent="0.2">
      <c r="A286" s="8">
        <v>46093</v>
      </c>
      <c r="B286">
        <v>35</v>
      </c>
      <c r="C286">
        <v>4.3</v>
      </c>
      <c r="D286">
        <v>165880.671</v>
      </c>
      <c r="E286">
        <v>0</v>
      </c>
      <c r="F286">
        <v>5815907.54</v>
      </c>
      <c r="G286">
        <v>-10084.030000000001</v>
      </c>
      <c r="H286">
        <v>0</v>
      </c>
      <c r="I286">
        <v>5805823.5099999998</v>
      </c>
      <c r="J286">
        <v>84000</v>
      </c>
      <c r="K286">
        <v>0</v>
      </c>
      <c r="L286">
        <v>1056176.49</v>
      </c>
      <c r="M286">
        <v>6946000</v>
      </c>
      <c r="N286">
        <v>0</v>
      </c>
      <c r="O286">
        <v>5805823.5099999998</v>
      </c>
      <c r="P286">
        <v>1896282</v>
      </c>
      <c r="Q286">
        <v>3909541.51</v>
      </c>
      <c r="R286">
        <v>0</v>
      </c>
      <c r="S286">
        <v>151</v>
      </c>
      <c r="T286">
        <v>0</v>
      </c>
      <c r="U286">
        <v>0</v>
      </c>
      <c r="V286" s="9">
        <v>46189.853409826392</v>
      </c>
    </row>
    <row r="287" spans="1:22" x14ac:dyDescent="0.2">
      <c r="A287" s="8">
        <v>46094</v>
      </c>
      <c r="B287">
        <v>16</v>
      </c>
      <c r="C287">
        <v>1.4</v>
      </c>
      <c r="D287">
        <v>98913.341</v>
      </c>
      <c r="E287">
        <v>0</v>
      </c>
      <c r="F287">
        <v>1582613.46</v>
      </c>
      <c r="G287">
        <v>0</v>
      </c>
      <c r="H287">
        <v>0</v>
      </c>
      <c r="I287">
        <v>1582613.46</v>
      </c>
      <c r="J287">
        <v>24000</v>
      </c>
      <c r="K287">
        <v>0</v>
      </c>
      <c r="L287">
        <v>291386.53999999998</v>
      </c>
      <c r="M287">
        <v>1898000</v>
      </c>
      <c r="N287">
        <v>0</v>
      </c>
      <c r="O287">
        <v>1582613.46</v>
      </c>
      <c r="P287">
        <v>362470</v>
      </c>
      <c r="Q287">
        <v>1220143.46</v>
      </c>
      <c r="R287">
        <v>300000</v>
      </c>
      <c r="S287">
        <v>22</v>
      </c>
      <c r="T287">
        <v>0</v>
      </c>
      <c r="U287">
        <v>300000</v>
      </c>
      <c r="V287" s="9">
        <v>46189.853409826392</v>
      </c>
    </row>
    <row r="288" spans="1:22" x14ac:dyDescent="0.2">
      <c r="A288" s="8">
        <v>46095</v>
      </c>
      <c r="B288">
        <v>32</v>
      </c>
      <c r="C288">
        <v>2.4</v>
      </c>
      <c r="D288">
        <v>143189.33799999999</v>
      </c>
      <c r="E288">
        <v>0</v>
      </c>
      <c r="F288">
        <v>4582058.83</v>
      </c>
      <c r="G288">
        <v>0</v>
      </c>
      <c r="H288">
        <v>0</v>
      </c>
      <c r="I288">
        <v>4582058.83</v>
      </c>
      <c r="J288">
        <v>64000</v>
      </c>
      <c r="K288">
        <v>0</v>
      </c>
      <c r="L288">
        <v>863941.17</v>
      </c>
      <c r="M288">
        <v>5510000</v>
      </c>
      <c r="N288">
        <v>368067.23</v>
      </c>
      <c r="O288">
        <v>4213991.5999999996</v>
      </c>
      <c r="P288">
        <v>1308058</v>
      </c>
      <c r="Q288">
        <v>2905933.6</v>
      </c>
      <c r="R288">
        <v>0</v>
      </c>
      <c r="S288">
        <v>76</v>
      </c>
      <c r="T288">
        <v>0</v>
      </c>
      <c r="U288">
        <v>0</v>
      </c>
      <c r="V288" s="9">
        <v>46189.853409826392</v>
      </c>
    </row>
    <row r="289" spans="1:22" x14ac:dyDescent="0.2">
      <c r="A289" s="8">
        <v>46096</v>
      </c>
      <c r="B289">
        <v>11</v>
      </c>
      <c r="C289">
        <v>3.7</v>
      </c>
      <c r="D289">
        <v>161191.75</v>
      </c>
      <c r="E289">
        <v>0</v>
      </c>
      <c r="F289">
        <v>1773109.25</v>
      </c>
      <c r="G289">
        <v>0</v>
      </c>
      <c r="H289">
        <v>0</v>
      </c>
      <c r="I289">
        <v>1773109.25</v>
      </c>
      <c r="J289">
        <v>12000</v>
      </c>
      <c r="K289">
        <v>0</v>
      </c>
      <c r="L289">
        <v>336890.75</v>
      </c>
      <c r="M289">
        <v>2122000</v>
      </c>
      <c r="N289">
        <v>0</v>
      </c>
      <c r="O289">
        <v>1773109.25</v>
      </c>
      <c r="P289">
        <v>358635</v>
      </c>
      <c r="Q289">
        <v>1414474.25</v>
      </c>
      <c r="R289">
        <v>0</v>
      </c>
      <c r="S289">
        <v>41</v>
      </c>
      <c r="T289">
        <v>0</v>
      </c>
      <c r="U289">
        <v>0</v>
      </c>
      <c r="V289" s="9">
        <v>46189.853409826392</v>
      </c>
    </row>
    <row r="290" spans="1:22" x14ac:dyDescent="0.2">
      <c r="A290" s="8">
        <v>46097</v>
      </c>
      <c r="B290">
        <v>20</v>
      </c>
      <c r="C290">
        <v>1.6</v>
      </c>
      <c r="D290">
        <v>98086.975000000006</v>
      </c>
      <c r="E290">
        <v>0</v>
      </c>
      <c r="F290">
        <v>1961739.5</v>
      </c>
      <c r="G290">
        <v>0</v>
      </c>
      <c r="H290">
        <v>0</v>
      </c>
      <c r="I290">
        <v>1961739.5</v>
      </c>
      <c r="J290">
        <v>28000</v>
      </c>
      <c r="K290">
        <v>0</v>
      </c>
      <c r="L290">
        <v>351260.5</v>
      </c>
      <c r="M290">
        <v>2341000</v>
      </c>
      <c r="N290">
        <v>0</v>
      </c>
      <c r="O290">
        <v>1961739.5</v>
      </c>
      <c r="P290">
        <v>605495</v>
      </c>
      <c r="Q290">
        <v>1356244.5</v>
      </c>
      <c r="R290">
        <v>0</v>
      </c>
      <c r="S290">
        <v>33</v>
      </c>
      <c r="T290">
        <v>0</v>
      </c>
      <c r="U290">
        <v>0</v>
      </c>
      <c r="V290" s="9">
        <v>46189.853409826392</v>
      </c>
    </row>
    <row r="291" spans="1:22" x14ac:dyDescent="0.2">
      <c r="A291" s="8">
        <v>46098</v>
      </c>
      <c r="B291">
        <v>28</v>
      </c>
      <c r="C291">
        <v>2.1</v>
      </c>
      <c r="D291">
        <v>150204.08100000001</v>
      </c>
      <c r="E291">
        <v>0</v>
      </c>
      <c r="F291">
        <v>4256134.46</v>
      </c>
      <c r="G291">
        <v>-50420.17</v>
      </c>
      <c r="H291">
        <v>0</v>
      </c>
      <c r="I291">
        <v>4205714.29</v>
      </c>
      <c r="J291">
        <v>72000</v>
      </c>
      <c r="K291">
        <v>0</v>
      </c>
      <c r="L291">
        <v>785785.71</v>
      </c>
      <c r="M291">
        <v>5063500</v>
      </c>
      <c r="N291">
        <v>168067.22</v>
      </c>
      <c r="O291">
        <v>4037647.07</v>
      </c>
      <c r="P291">
        <v>1320946</v>
      </c>
      <c r="Q291">
        <v>2716701.07</v>
      </c>
      <c r="R291">
        <v>0</v>
      </c>
      <c r="S291">
        <v>60</v>
      </c>
      <c r="T291">
        <v>0</v>
      </c>
      <c r="U291">
        <v>0</v>
      </c>
      <c r="V291" s="9">
        <v>46189.853409826392</v>
      </c>
    </row>
    <row r="292" spans="1:22" x14ac:dyDescent="0.2">
      <c r="A292" s="8">
        <v>46099</v>
      </c>
      <c r="B292">
        <v>13</v>
      </c>
      <c r="C292">
        <v>2.2000000000000002</v>
      </c>
      <c r="D292">
        <v>131286.35999999999</v>
      </c>
      <c r="E292">
        <v>0</v>
      </c>
      <c r="F292">
        <v>1706722.68</v>
      </c>
      <c r="G292">
        <v>0</v>
      </c>
      <c r="H292">
        <v>0</v>
      </c>
      <c r="I292">
        <v>1706722.68</v>
      </c>
      <c r="J292">
        <v>12000</v>
      </c>
      <c r="K292">
        <v>0</v>
      </c>
      <c r="L292">
        <v>324277.32</v>
      </c>
      <c r="M292">
        <v>2043000</v>
      </c>
      <c r="N292">
        <v>0</v>
      </c>
      <c r="O292">
        <v>1706722.68</v>
      </c>
      <c r="P292">
        <v>452636</v>
      </c>
      <c r="Q292">
        <v>1254086.68</v>
      </c>
      <c r="R292">
        <v>0</v>
      </c>
      <c r="S292">
        <v>29</v>
      </c>
      <c r="T292">
        <v>0</v>
      </c>
      <c r="U292">
        <v>0</v>
      </c>
      <c r="V292" s="9">
        <v>46189.853409826392</v>
      </c>
    </row>
    <row r="293" spans="1:22" x14ac:dyDescent="0.2">
      <c r="A293" s="8">
        <v>46100</v>
      </c>
      <c r="B293">
        <v>27</v>
      </c>
      <c r="C293">
        <v>4.3</v>
      </c>
      <c r="D293">
        <v>226157.79500000001</v>
      </c>
      <c r="E293">
        <v>0</v>
      </c>
      <c r="F293">
        <v>6535840.2699999996</v>
      </c>
      <c r="G293">
        <v>-429579.79</v>
      </c>
      <c r="H293">
        <v>0</v>
      </c>
      <c r="I293">
        <v>6106260.4800000004</v>
      </c>
      <c r="J293">
        <v>52000</v>
      </c>
      <c r="K293">
        <v>0</v>
      </c>
      <c r="L293">
        <v>1153539.52</v>
      </c>
      <c r="M293">
        <v>7311800</v>
      </c>
      <c r="N293">
        <v>364285.7</v>
      </c>
      <c r="O293">
        <v>5741974.7800000003</v>
      </c>
      <c r="P293">
        <v>1850331</v>
      </c>
      <c r="Q293">
        <v>3891643.78</v>
      </c>
      <c r="R293">
        <v>0</v>
      </c>
      <c r="S293">
        <v>117</v>
      </c>
      <c r="T293">
        <v>0</v>
      </c>
      <c r="U293">
        <v>0</v>
      </c>
      <c r="V293" s="9">
        <v>46189.853409826392</v>
      </c>
    </row>
    <row r="294" spans="1:22" x14ac:dyDescent="0.2">
      <c r="A294" s="8">
        <v>46101</v>
      </c>
      <c r="B294">
        <v>19</v>
      </c>
      <c r="C294">
        <v>2</v>
      </c>
      <c r="D294">
        <v>128925.253</v>
      </c>
      <c r="E294">
        <v>0</v>
      </c>
      <c r="F294">
        <v>2449579.8199999998</v>
      </c>
      <c r="G294">
        <v>0</v>
      </c>
      <c r="H294">
        <v>0</v>
      </c>
      <c r="I294">
        <v>2449579.8199999998</v>
      </c>
      <c r="J294">
        <v>44000</v>
      </c>
      <c r="K294">
        <v>0</v>
      </c>
      <c r="L294">
        <v>465420.18</v>
      </c>
      <c r="M294">
        <v>2959000</v>
      </c>
      <c r="N294">
        <v>0</v>
      </c>
      <c r="O294">
        <v>2449579.8199999998</v>
      </c>
      <c r="P294">
        <v>708347</v>
      </c>
      <c r="Q294">
        <v>1741232.82</v>
      </c>
      <c r="R294">
        <v>0</v>
      </c>
      <c r="S294">
        <v>38</v>
      </c>
      <c r="T294">
        <v>0</v>
      </c>
      <c r="U294">
        <v>0</v>
      </c>
      <c r="V294" s="9">
        <v>46189.853409826392</v>
      </c>
    </row>
    <row r="295" spans="1:22" x14ac:dyDescent="0.2">
      <c r="A295" s="8">
        <v>46102</v>
      </c>
      <c r="B295">
        <v>20</v>
      </c>
      <c r="C295">
        <v>3</v>
      </c>
      <c r="D295">
        <v>147018.068</v>
      </c>
      <c r="E295">
        <v>0</v>
      </c>
      <c r="F295">
        <v>3053806.75</v>
      </c>
      <c r="G295">
        <v>0</v>
      </c>
      <c r="H295">
        <v>0</v>
      </c>
      <c r="I295">
        <v>3053806.75</v>
      </c>
      <c r="J295">
        <v>16000</v>
      </c>
      <c r="K295">
        <v>0</v>
      </c>
      <c r="L295">
        <v>554193.25</v>
      </c>
      <c r="M295">
        <v>3624000</v>
      </c>
      <c r="N295">
        <v>84033.61</v>
      </c>
      <c r="O295">
        <v>2969773.14</v>
      </c>
      <c r="P295">
        <v>1003244</v>
      </c>
      <c r="Q295">
        <v>1966529.14</v>
      </c>
      <c r="R295">
        <v>0</v>
      </c>
      <c r="S295">
        <v>60</v>
      </c>
      <c r="T295">
        <v>0</v>
      </c>
      <c r="U295">
        <v>0</v>
      </c>
      <c r="V295" s="9">
        <v>46189.853409826392</v>
      </c>
    </row>
    <row r="296" spans="1:22" x14ac:dyDescent="0.2">
      <c r="A296" s="8">
        <v>46103</v>
      </c>
      <c r="B296">
        <v>9</v>
      </c>
      <c r="C296">
        <v>1.3</v>
      </c>
      <c r="D296">
        <v>56554.622000000003</v>
      </c>
      <c r="E296">
        <v>0</v>
      </c>
      <c r="F296">
        <v>508991.6</v>
      </c>
      <c r="G296">
        <v>0</v>
      </c>
      <c r="H296">
        <v>0</v>
      </c>
      <c r="I296">
        <v>508991.6</v>
      </c>
      <c r="J296">
        <v>12000</v>
      </c>
      <c r="K296">
        <v>0</v>
      </c>
      <c r="L296">
        <v>91008.4</v>
      </c>
      <c r="M296">
        <v>612000</v>
      </c>
      <c r="N296">
        <v>0</v>
      </c>
      <c r="O296">
        <v>508991.6</v>
      </c>
      <c r="P296">
        <v>171693</v>
      </c>
      <c r="Q296">
        <v>337298.6</v>
      </c>
      <c r="R296">
        <v>0</v>
      </c>
      <c r="S296">
        <v>12</v>
      </c>
      <c r="T296">
        <v>0</v>
      </c>
      <c r="U296">
        <v>0</v>
      </c>
      <c r="V296" s="9">
        <v>46189.853409826392</v>
      </c>
    </row>
    <row r="297" spans="1:22" x14ac:dyDescent="0.2">
      <c r="A297" s="8">
        <v>46104</v>
      </c>
      <c r="B297">
        <v>8</v>
      </c>
      <c r="C297">
        <v>2.6</v>
      </c>
      <c r="D297">
        <v>157037.815</v>
      </c>
      <c r="E297">
        <v>0</v>
      </c>
      <c r="F297">
        <v>1256302.52</v>
      </c>
      <c r="G297">
        <v>0</v>
      </c>
      <c r="H297">
        <v>0</v>
      </c>
      <c r="I297">
        <v>1256302.52</v>
      </c>
      <c r="J297">
        <v>28000</v>
      </c>
      <c r="K297">
        <v>0</v>
      </c>
      <c r="L297">
        <v>238697.48</v>
      </c>
      <c r="M297">
        <v>1523000</v>
      </c>
      <c r="N297">
        <v>0</v>
      </c>
      <c r="O297">
        <v>1256302.52</v>
      </c>
      <c r="P297">
        <v>313285</v>
      </c>
      <c r="Q297">
        <v>943017.52</v>
      </c>
      <c r="R297">
        <v>0</v>
      </c>
      <c r="S297">
        <v>21</v>
      </c>
      <c r="T297">
        <v>0</v>
      </c>
      <c r="U297">
        <v>0</v>
      </c>
      <c r="V297" s="9">
        <v>46189.853409826392</v>
      </c>
    </row>
    <row r="298" spans="1:22" x14ac:dyDescent="0.2">
      <c r="A298" s="8">
        <v>46105</v>
      </c>
      <c r="B298">
        <v>13</v>
      </c>
      <c r="C298">
        <v>2.2999999999999998</v>
      </c>
      <c r="D298">
        <v>142921.785</v>
      </c>
      <c r="E298">
        <v>0</v>
      </c>
      <c r="F298">
        <v>2039495.8</v>
      </c>
      <c r="G298">
        <v>-181512.59</v>
      </c>
      <c r="H298">
        <v>0</v>
      </c>
      <c r="I298">
        <v>1857983.21</v>
      </c>
      <c r="J298">
        <v>56000</v>
      </c>
      <c r="K298">
        <v>0</v>
      </c>
      <c r="L298">
        <v>353016.79</v>
      </c>
      <c r="M298">
        <v>2267000</v>
      </c>
      <c r="N298">
        <v>71428.570000000007</v>
      </c>
      <c r="O298">
        <v>1786554.64</v>
      </c>
      <c r="P298">
        <v>544861</v>
      </c>
      <c r="Q298">
        <v>1241693.6399999999</v>
      </c>
      <c r="R298">
        <v>0</v>
      </c>
      <c r="S298">
        <v>30</v>
      </c>
      <c r="T298">
        <v>0</v>
      </c>
      <c r="U298">
        <v>0</v>
      </c>
      <c r="V298" s="9">
        <v>46189.853409826392</v>
      </c>
    </row>
    <row r="299" spans="1:22" x14ac:dyDescent="0.2">
      <c r="A299" s="8">
        <v>46106</v>
      </c>
      <c r="B299">
        <v>20</v>
      </c>
      <c r="C299">
        <v>2.2000000000000002</v>
      </c>
      <c r="D299">
        <v>146378.99100000001</v>
      </c>
      <c r="E299">
        <v>0</v>
      </c>
      <c r="F299">
        <v>2927579.82</v>
      </c>
      <c r="G299">
        <v>0</v>
      </c>
      <c r="H299">
        <v>0</v>
      </c>
      <c r="I299">
        <v>2927579.82</v>
      </c>
      <c r="J299">
        <v>76000</v>
      </c>
      <c r="K299">
        <v>0</v>
      </c>
      <c r="L299">
        <v>541420.18000000005</v>
      </c>
      <c r="M299">
        <v>3545000</v>
      </c>
      <c r="N299">
        <v>159663.87</v>
      </c>
      <c r="O299">
        <v>2767915.95</v>
      </c>
      <c r="P299">
        <v>750999</v>
      </c>
      <c r="Q299">
        <v>2016916.95</v>
      </c>
      <c r="R299">
        <v>230000</v>
      </c>
      <c r="S299">
        <v>45</v>
      </c>
      <c r="T299">
        <v>0</v>
      </c>
      <c r="U299">
        <v>230000</v>
      </c>
      <c r="V299" s="9">
        <v>46189.853409826392</v>
      </c>
    </row>
    <row r="300" spans="1:22" x14ac:dyDescent="0.2">
      <c r="A300" s="8">
        <v>46107</v>
      </c>
      <c r="B300">
        <v>20</v>
      </c>
      <c r="C300">
        <v>1.9</v>
      </c>
      <c r="D300">
        <v>109523.11</v>
      </c>
      <c r="E300">
        <v>0</v>
      </c>
      <c r="F300">
        <v>2190462.2000000002</v>
      </c>
      <c r="G300">
        <v>0</v>
      </c>
      <c r="H300">
        <v>0</v>
      </c>
      <c r="I300">
        <v>2190462.2000000002</v>
      </c>
      <c r="J300">
        <v>16000</v>
      </c>
      <c r="K300">
        <v>0</v>
      </c>
      <c r="L300">
        <v>409537.8</v>
      </c>
      <c r="M300">
        <v>2616000</v>
      </c>
      <c r="N300">
        <v>0</v>
      </c>
      <c r="O300">
        <v>2190462.2000000002</v>
      </c>
      <c r="P300">
        <v>504534</v>
      </c>
      <c r="Q300">
        <v>1685928.2</v>
      </c>
      <c r="R300">
        <v>0</v>
      </c>
      <c r="S300">
        <v>38</v>
      </c>
      <c r="T300">
        <v>0</v>
      </c>
      <c r="U300">
        <v>0</v>
      </c>
      <c r="V300" s="9">
        <v>46189.853409826392</v>
      </c>
    </row>
    <row r="301" spans="1:22" x14ac:dyDescent="0.2">
      <c r="A301" s="8">
        <v>46108</v>
      </c>
      <c r="B301">
        <v>22</v>
      </c>
      <c r="C301">
        <v>2</v>
      </c>
      <c r="D301">
        <v>126621.466</v>
      </c>
      <c r="E301">
        <v>0</v>
      </c>
      <c r="F301">
        <v>2785672.27</v>
      </c>
      <c r="G301">
        <v>0</v>
      </c>
      <c r="H301">
        <v>0</v>
      </c>
      <c r="I301">
        <v>2785672.27</v>
      </c>
      <c r="J301">
        <v>90000</v>
      </c>
      <c r="K301">
        <v>0</v>
      </c>
      <c r="L301">
        <v>509327.73</v>
      </c>
      <c r="M301">
        <v>3385000</v>
      </c>
      <c r="N301">
        <v>0</v>
      </c>
      <c r="O301">
        <v>2785672.27</v>
      </c>
      <c r="P301">
        <v>798919</v>
      </c>
      <c r="Q301">
        <v>1986753.27</v>
      </c>
      <c r="R301">
        <v>0</v>
      </c>
      <c r="S301">
        <v>44</v>
      </c>
      <c r="T301">
        <v>0</v>
      </c>
      <c r="U301">
        <v>0</v>
      </c>
      <c r="V301" s="9">
        <v>46189.853409826392</v>
      </c>
    </row>
    <row r="302" spans="1:22" x14ac:dyDescent="0.2">
      <c r="A302" s="8">
        <v>46109</v>
      </c>
      <c r="B302">
        <v>29</v>
      </c>
      <c r="C302">
        <v>2.9</v>
      </c>
      <c r="D302">
        <v>195264.56099999999</v>
      </c>
      <c r="E302">
        <v>-1</v>
      </c>
      <c r="F302">
        <v>5804689.04</v>
      </c>
      <c r="G302">
        <v>-142016.76999999999</v>
      </c>
      <c r="H302">
        <v>-113445.38</v>
      </c>
      <c r="I302">
        <v>5549226.8899999997</v>
      </c>
      <c r="J302">
        <v>28000</v>
      </c>
      <c r="K302">
        <v>0</v>
      </c>
      <c r="L302">
        <v>896273.11</v>
      </c>
      <c r="M302">
        <v>6473500</v>
      </c>
      <c r="N302">
        <v>71428.570000000007</v>
      </c>
      <c r="O302">
        <v>5477798.3200000003</v>
      </c>
      <c r="P302">
        <v>1552848</v>
      </c>
      <c r="Q302">
        <v>3924950.32</v>
      </c>
      <c r="R302">
        <v>0</v>
      </c>
      <c r="S302">
        <v>82</v>
      </c>
      <c r="T302">
        <v>0</v>
      </c>
      <c r="U302">
        <v>0</v>
      </c>
      <c r="V302" s="9">
        <v>46189.853409826392</v>
      </c>
    </row>
    <row r="303" spans="1:22" x14ac:dyDescent="0.2">
      <c r="A303" s="8">
        <v>46110</v>
      </c>
      <c r="B303">
        <v>10</v>
      </c>
      <c r="C303">
        <v>3.6</v>
      </c>
      <c r="D303">
        <v>228823.52900000001</v>
      </c>
      <c r="E303">
        <v>0</v>
      </c>
      <c r="F303">
        <v>2288235.29</v>
      </c>
      <c r="G303">
        <v>0</v>
      </c>
      <c r="H303">
        <v>0</v>
      </c>
      <c r="I303">
        <v>2288235.29</v>
      </c>
      <c r="J303">
        <v>0</v>
      </c>
      <c r="K303">
        <v>0</v>
      </c>
      <c r="L303">
        <v>434764.71</v>
      </c>
      <c r="M303">
        <v>2723000</v>
      </c>
      <c r="N303">
        <v>0</v>
      </c>
      <c r="O303">
        <v>2288235.29</v>
      </c>
      <c r="P303">
        <v>658555</v>
      </c>
      <c r="Q303">
        <v>1629680.29</v>
      </c>
      <c r="R303">
        <v>0</v>
      </c>
      <c r="S303">
        <v>36</v>
      </c>
      <c r="T303">
        <v>0</v>
      </c>
      <c r="U303">
        <v>0</v>
      </c>
      <c r="V303" s="9">
        <v>46189.853409826392</v>
      </c>
    </row>
    <row r="304" spans="1:22" x14ac:dyDescent="0.2">
      <c r="A304" s="8">
        <v>46111</v>
      </c>
      <c r="B304">
        <v>10</v>
      </c>
      <c r="C304">
        <v>3.6</v>
      </c>
      <c r="D304">
        <v>238235.29399999999</v>
      </c>
      <c r="E304">
        <v>0</v>
      </c>
      <c r="F304">
        <v>2382352.94</v>
      </c>
      <c r="G304">
        <v>0</v>
      </c>
      <c r="H304">
        <v>0</v>
      </c>
      <c r="I304">
        <v>2382352.94</v>
      </c>
      <c r="J304">
        <v>48000</v>
      </c>
      <c r="K304">
        <v>0</v>
      </c>
      <c r="L304">
        <v>452647.06</v>
      </c>
      <c r="M304">
        <v>2883000</v>
      </c>
      <c r="N304">
        <v>0</v>
      </c>
      <c r="O304">
        <v>2382352.94</v>
      </c>
      <c r="P304">
        <v>648284</v>
      </c>
      <c r="Q304">
        <v>1734068.94</v>
      </c>
      <c r="R304">
        <v>0</v>
      </c>
      <c r="S304">
        <v>36</v>
      </c>
      <c r="T304">
        <v>0</v>
      </c>
      <c r="U304">
        <v>0</v>
      </c>
      <c r="V304" s="9">
        <v>46189.853409826392</v>
      </c>
    </row>
    <row r="305" spans="1:22" x14ac:dyDescent="0.2">
      <c r="A305" s="8">
        <v>46112</v>
      </c>
      <c r="B305">
        <v>14</v>
      </c>
      <c r="C305">
        <v>5.3</v>
      </c>
      <c r="D305">
        <v>180023.40900000001</v>
      </c>
      <c r="E305">
        <v>0</v>
      </c>
      <c r="F305">
        <v>2520327.73</v>
      </c>
      <c r="G305">
        <v>0</v>
      </c>
      <c r="H305">
        <v>0</v>
      </c>
      <c r="I305">
        <v>2520327.73</v>
      </c>
      <c r="J305">
        <v>64000</v>
      </c>
      <c r="K305">
        <v>0</v>
      </c>
      <c r="L305">
        <v>456822.27</v>
      </c>
      <c r="M305">
        <v>3041150</v>
      </c>
      <c r="N305">
        <v>0</v>
      </c>
      <c r="O305">
        <v>2520327.73</v>
      </c>
      <c r="P305">
        <v>470874</v>
      </c>
      <c r="Q305">
        <v>2049453.73</v>
      </c>
      <c r="R305">
        <v>0</v>
      </c>
      <c r="S305">
        <v>74</v>
      </c>
      <c r="T305">
        <v>0</v>
      </c>
      <c r="U305">
        <v>0</v>
      </c>
      <c r="V305" s="9">
        <v>46189.853409826392</v>
      </c>
    </row>
    <row r="306" spans="1:22" x14ac:dyDescent="0.2">
      <c r="A306" s="8">
        <v>46113</v>
      </c>
      <c r="B306">
        <v>17</v>
      </c>
      <c r="C306">
        <v>1.5</v>
      </c>
      <c r="D306">
        <v>99140.385999999999</v>
      </c>
      <c r="E306">
        <v>0</v>
      </c>
      <c r="F306">
        <v>1685386.57</v>
      </c>
      <c r="G306">
        <v>0</v>
      </c>
      <c r="H306">
        <v>0</v>
      </c>
      <c r="I306">
        <v>1685386.57</v>
      </c>
      <c r="J306">
        <v>12000</v>
      </c>
      <c r="K306">
        <v>0</v>
      </c>
      <c r="L306">
        <v>288113.43</v>
      </c>
      <c r="M306">
        <v>1985500</v>
      </c>
      <c r="N306">
        <v>0</v>
      </c>
      <c r="O306">
        <v>1685386.57</v>
      </c>
      <c r="P306">
        <v>469452</v>
      </c>
      <c r="Q306">
        <v>1215934.57</v>
      </c>
      <c r="R306">
        <v>0</v>
      </c>
      <c r="S306">
        <v>25</v>
      </c>
      <c r="T306">
        <v>0</v>
      </c>
      <c r="U306">
        <v>0</v>
      </c>
      <c r="V306" s="9">
        <v>46189.853409826392</v>
      </c>
    </row>
    <row r="307" spans="1:22" x14ac:dyDescent="0.2">
      <c r="A307" s="8">
        <v>46114</v>
      </c>
      <c r="B307">
        <v>13</v>
      </c>
      <c r="C307">
        <v>1.5</v>
      </c>
      <c r="D307">
        <v>88061.409</v>
      </c>
      <c r="E307">
        <v>0</v>
      </c>
      <c r="F307">
        <v>1144798.32</v>
      </c>
      <c r="G307">
        <v>0</v>
      </c>
      <c r="H307">
        <v>0</v>
      </c>
      <c r="I307">
        <v>1144798.32</v>
      </c>
      <c r="J307">
        <v>48000</v>
      </c>
      <c r="K307">
        <v>0</v>
      </c>
      <c r="L307">
        <v>189201.68</v>
      </c>
      <c r="M307">
        <v>1382000</v>
      </c>
      <c r="N307">
        <v>0</v>
      </c>
      <c r="O307">
        <v>1144798.32</v>
      </c>
      <c r="P307">
        <v>390300</v>
      </c>
      <c r="Q307">
        <v>754498.32</v>
      </c>
      <c r="R307">
        <v>0</v>
      </c>
      <c r="S307">
        <v>19</v>
      </c>
      <c r="T307">
        <v>0</v>
      </c>
      <c r="U307">
        <v>0</v>
      </c>
      <c r="V307" s="9">
        <v>46189.853409826392</v>
      </c>
    </row>
    <row r="308" spans="1:22" x14ac:dyDescent="0.2">
      <c r="A308" s="8">
        <v>46116</v>
      </c>
      <c r="B308">
        <v>8</v>
      </c>
      <c r="C308">
        <v>1.5</v>
      </c>
      <c r="D308">
        <v>73488.445999999996</v>
      </c>
      <c r="E308">
        <v>-1</v>
      </c>
      <c r="F308">
        <v>617319.32999999996</v>
      </c>
      <c r="G308">
        <v>0</v>
      </c>
      <c r="H308">
        <v>-46218.49</v>
      </c>
      <c r="I308">
        <v>571100.84</v>
      </c>
      <c r="J308">
        <v>28000</v>
      </c>
      <c r="K308">
        <v>0</v>
      </c>
      <c r="L308">
        <v>85899.16</v>
      </c>
      <c r="M308">
        <v>685000</v>
      </c>
      <c r="N308">
        <v>0</v>
      </c>
      <c r="O308">
        <v>571100.84</v>
      </c>
      <c r="P308">
        <v>179120</v>
      </c>
      <c r="Q308">
        <v>391980.84</v>
      </c>
      <c r="R308">
        <v>0</v>
      </c>
      <c r="S308">
        <v>12</v>
      </c>
      <c r="T308">
        <v>0</v>
      </c>
      <c r="U308">
        <v>0</v>
      </c>
      <c r="V308" s="9">
        <v>46189.853409826392</v>
      </c>
    </row>
    <row r="309" spans="1:22" x14ac:dyDescent="0.2">
      <c r="A309" s="8">
        <v>46117</v>
      </c>
      <c r="B309">
        <v>3</v>
      </c>
      <c r="C309">
        <v>2.2999999999999998</v>
      </c>
      <c r="D309">
        <v>233893.55600000001</v>
      </c>
      <c r="E309">
        <v>0</v>
      </c>
      <c r="F309">
        <v>701680.67</v>
      </c>
      <c r="G309">
        <v>0</v>
      </c>
      <c r="H309">
        <v>0</v>
      </c>
      <c r="I309">
        <v>701680.67</v>
      </c>
      <c r="J309">
        <v>44000</v>
      </c>
      <c r="K309">
        <v>0</v>
      </c>
      <c r="L309">
        <v>133319.32999999999</v>
      </c>
      <c r="M309">
        <v>879000</v>
      </c>
      <c r="N309">
        <v>0</v>
      </c>
      <c r="O309">
        <v>701680.67</v>
      </c>
      <c r="P309">
        <v>219239</v>
      </c>
      <c r="Q309">
        <v>482441.67</v>
      </c>
      <c r="R309">
        <v>0</v>
      </c>
      <c r="S309">
        <v>7</v>
      </c>
      <c r="T309">
        <v>0</v>
      </c>
      <c r="U309">
        <v>0</v>
      </c>
      <c r="V309" s="9">
        <v>46189.853409826392</v>
      </c>
    </row>
    <row r="310" spans="1:22" x14ac:dyDescent="0.2">
      <c r="A310" s="8">
        <v>46118</v>
      </c>
      <c r="B310">
        <v>19</v>
      </c>
      <c r="C310">
        <v>1.7</v>
      </c>
      <c r="D310">
        <v>105188.414</v>
      </c>
      <c r="E310">
        <v>-5</v>
      </c>
      <c r="F310">
        <v>2771689.11</v>
      </c>
      <c r="G310">
        <v>0</v>
      </c>
      <c r="H310">
        <v>-726890.75</v>
      </c>
      <c r="I310">
        <v>2044798.36</v>
      </c>
      <c r="J310">
        <v>40000</v>
      </c>
      <c r="K310">
        <v>0</v>
      </c>
      <c r="L310">
        <v>379201.64</v>
      </c>
      <c r="M310">
        <v>2464000</v>
      </c>
      <c r="N310">
        <v>0</v>
      </c>
      <c r="O310">
        <v>2044798.36</v>
      </c>
      <c r="P310">
        <v>727912</v>
      </c>
      <c r="Q310">
        <v>1316886.3600000001</v>
      </c>
      <c r="R310">
        <v>0</v>
      </c>
      <c r="S310">
        <v>33</v>
      </c>
      <c r="T310">
        <v>0</v>
      </c>
      <c r="U310">
        <v>0</v>
      </c>
      <c r="V310" s="9">
        <v>46189.853409826392</v>
      </c>
    </row>
    <row r="311" spans="1:22" x14ac:dyDescent="0.2">
      <c r="A311" s="8">
        <v>46119</v>
      </c>
      <c r="B311">
        <v>21</v>
      </c>
      <c r="C311">
        <v>2</v>
      </c>
      <c r="D311">
        <v>148499.4</v>
      </c>
      <c r="E311">
        <v>-1</v>
      </c>
      <c r="F311">
        <v>3181512.61</v>
      </c>
      <c r="G311">
        <v>0</v>
      </c>
      <c r="H311">
        <v>-63025.21</v>
      </c>
      <c r="I311">
        <v>3118487.4</v>
      </c>
      <c r="J311">
        <v>72000</v>
      </c>
      <c r="K311">
        <v>0</v>
      </c>
      <c r="L311">
        <v>592512.6</v>
      </c>
      <c r="M311">
        <v>3783000</v>
      </c>
      <c r="N311">
        <v>0</v>
      </c>
      <c r="O311">
        <v>3118487.4</v>
      </c>
      <c r="P311">
        <v>977460</v>
      </c>
      <c r="Q311">
        <v>2141027.4</v>
      </c>
      <c r="R311">
        <v>0</v>
      </c>
      <c r="S311">
        <v>42</v>
      </c>
      <c r="T311">
        <v>0</v>
      </c>
      <c r="U311">
        <v>0</v>
      </c>
      <c r="V311" s="9">
        <v>46189.853409826392</v>
      </c>
    </row>
    <row r="312" spans="1:22" x14ac:dyDescent="0.2">
      <c r="A312" s="8">
        <v>46120</v>
      </c>
      <c r="B312">
        <v>22</v>
      </c>
      <c r="C312">
        <v>1.6</v>
      </c>
      <c r="D312">
        <v>101222.307</v>
      </c>
      <c r="E312">
        <v>0</v>
      </c>
      <c r="F312">
        <v>2231092.44</v>
      </c>
      <c r="G312">
        <v>-4201.68</v>
      </c>
      <c r="H312">
        <v>0</v>
      </c>
      <c r="I312">
        <v>2226890.7599999998</v>
      </c>
      <c r="J312">
        <v>24000</v>
      </c>
      <c r="K312">
        <v>0</v>
      </c>
      <c r="L312">
        <v>423109.24</v>
      </c>
      <c r="M312">
        <v>2674000</v>
      </c>
      <c r="N312">
        <v>0</v>
      </c>
      <c r="O312">
        <v>2226890.7599999998</v>
      </c>
      <c r="P312">
        <v>596534</v>
      </c>
      <c r="Q312">
        <v>1630356.76</v>
      </c>
      <c r="R312">
        <v>0</v>
      </c>
      <c r="S312">
        <v>35</v>
      </c>
      <c r="T312">
        <v>0</v>
      </c>
      <c r="U312">
        <v>0</v>
      </c>
      <c r="V312" s="9">
        <v>46189.853409826392</v>
      </c>
    </row>
    <row r="313" spans="1:22" x14ac:dyDescent="0.2">
      <c r="A313" s="8">
        <v>46121</v>
      </c>
      <c r="B313">
        <v>31</v>
      </c>
      <c r="C313">
        <v>2.2999999999999998</v>
      </c>
      <c r="D313">
        <v>148312.82199999999</v>
      </c>
      <c r="E313">
        <v>-1</v>
      </c>
      <c r="F313">
        <v>4729714.3</v>
      </c>
      <c r="G313">
        <v>-90000</v>
      </c>
      <c r="H313">
        <v>-42016.81</v>
      </c>
      <c r="I313">
        <v>4597697.49</v>
      </c>
      <c r="J313">
        <v>116012</v>
      </c>
      <c r="K313">
        <v>0</v>
      </c>
      <c r="L313">
        <v>806302.51</v>
      </c>
      <c r="M313">
        <v>5520012</v>
      </c>
      <c r="N313">
        <v>29411.759999999998</v>
      </c>
      <c r="O313">
        <v>4568285.7300000004</v>
      </c>
      <c r="P313">
        <v>1540221</v>
      </c>
      <c r="Q313">
        <v>3028064.73</v>
      </c>
      <c r="R313">
        <v>0</v>
      </c>
      <c r="S313">
        <v>70</v>
      </c>
      <c r="T313">
        <v>0</v>
      </c>
      <c r="U313">
        <v>0</v>
      </c>
      <c r="V313" s="9">
        <v>46189.853409826392</v>
      </c>
    </row>
    <row r="314" spans="1:22" x14ac:dyDescent="0.2">
      <c r="A314" s="8">
        <v>46122</v>
      </c>
      <c r="B314">
        <v>36</v>
      </c>
      <c r="C314">
        <v>3.1</v>
      </c>
      <c r="D314">
        <v>180722.45499999999</v>
      </c>
      <c r="E314">
        <v>-2</v>
      </c>
      <c r="F314">
        <v>6775336.0800000001</v>
      </c>
      <c r="G314">
        <v>-269327.7</v>
      </c>
      <c r="H314">
        <v>0</v>
      </c>
      <c r="I314">
        <v>6506008.3799999999</v>
      </c>
      <c r="J314">
        <v>48000</v>
      </c>
      <c r="K314">
        <v>0</v>
      </c>
      <c r="L314">
        <v>1229491.6200000001</v>
      </c>
      <c r="M314">
        <v>7783500</v>
      </c>
      <c r="N314">
        <v>0</v>
      </c>
      <c r="O314">
        <v>6506008.3799999999</v>
      </c>
      <c r="P314">
        <v>1782412</v>
      </c>
      <c r="Q314">
        <v>4723596.38</v>
      </c>
      <c r="R314">
        <v>0</v>
      </c>
      <c r="S314">
        <v>109</v>
      </c>
      <c r="T314">
        <v>0</v>
      </c>
      <c r="U314">
        <v>0</v>
      </c>
      <c r="V314" s="9">
        <v>46189.853409826392</v>
      </c>
    </row>
    <row r="315" spans="1:22" x14ac:dyDescent="0.2">
      <c r="A315" s="8">
        <v>46123</v>
      </c>
      <c r="B315">
        <v>27</v>
      </c>
      <c r="C315">
        <v>1.5</v>
      </c>
      <c r="D315">
        <v>120261.43799999999</v>
      </c>
      <c r="E315">
        <v>-1</v>
      </c>
      <c r="F315">
        <v>3247058.83</v>
      </c>
      <c r="G315">
        <v>0</v>
      </c>
      <c r="H315">
        <v>-63025.21</v>
      </c>
      <c r="I315">
        <v>3184033.62</v>
      </c>
      <c r="J315">
        <v>12000</v>
      </c>
      <c r="K315">
        <v>0</v>
      </c>
      <c r="L315">
        <v>604966.38</v>
      </c>
      <c r="M315">
        <v>3801000</v>
      </c>
      <c r="N315">
        <v>0</v>
      </c>
      <c r="O315">
        <v>3184033.62</v>
      </c>
      <c r="P315">
        <v>1108729</v>
      </c>
      <c r="Q315">
        <v>2075304.62</v>
      </c>
      <c r="R315">
        <v>0</v>
      </c>
      <c r="S315">
        <v>40</v>
      </c>
      <c r="T315">
        <v>0</v>
      </c>
      <c r="U315">
        <v>0</v>
      </c>
      <c r="V315" s="9">
        <v>46189.853409826392</v>
      </c>
    </row>
    <row r="316" spans="1:22" x14ac:dyDescent="0.2">
      <c r="A316" s="8">
        <v>46124</v>
      </c>
      <c r="B316">
        <v>18</v>
      </c>
      <c r="C316">
        <v>2.6</v>
      </c>
      <c r="D316">
        <v>146823.52900000001</v>
      </c>
      <c r="E316">
        <v>0</v>
      </c>
      <c r="F316">
        <v>2642823.5299999998</v>
      </c>
      <c r="G316">
        <v>0</v>
      </c>
      <c r="H316">
        <v>0</v>
      </c>
      <c r="I316">
        <v>2642823.5299999998</v>
      </c>
      <c r="J316">
        <v>64000</v>
      </c>
      <c r="K316">
        <v>0</v>
      </c>
      <c r="L316">
        <v>486176.47</v>
      </c>
      <c r="M316">
        <v>3193000</v>
      </c>
      <c r="N316">
        <v>0</v>
      </c>
      <c r="O316">
        <v>2642823.5299999998</v>
      </c>
      <c r="P316">
        <v>774824</v>
      </c>
      <c r="Q316">
        <v>1867999.53</v>
      </c>
      <c r="R316">
        <v>0</v>
      </c>
      <c r="S316">
        <v>46</v>
      </c>
      <c r="T316">
        <v>0</v>
      </c>
      <c r="U316">
        <v>0</v>
      </c>
      <c r="V316" s="9">
        <v>46189.853409826392</v>
      </c>
    </row>
    <row r="317" spans="1:22" x14ac:dyDescent="0.2">
      <c r="A317" s="8">
        <v>46125</v>
      </c>
      <c r="B317">
        <v>33</v>
      </c>
      <c r="C317">
        <v>2.2000000000000002</v>
      </c>
      <c r="D317">
        <v>139868.856</v>
      </c>
      <c r="E317">
        <v>-2</v>
      </c>
      <c r="F317">
        <v>4870294.07</v>
      </c>
      <c r="G317">
        <v>-111764.67</v>
      </c>
      <c r="H317">
        <v>-84033.61</v>
      </c>
      <c r="I317">
        <v>4674495.79</v>
      </c>
      <c r="J317">
        <v>72000</v>
      </c>
      <c r="K317">
        <v>0</v>
      </c>
      <c r="L317">
        <v>862504.21</v>
      </c>
      <c r="M317">
        <v>5609000</v>
      </c>
      <c r="N317">
        <v>142857.15</v>
      </c>
      <c r="O317">
        <v>4531638.6399999997</v>
      </c>
      <c r="P317">
        <v>1371002</v>
      </c>
      <c r="Q317">
        <v>3160636.64</v>
      </c>
      <c r="R317">
        <v>0</v>
      </c>
      <c r="S317">
        <v>74</v>
      </c>
      <c r="T317">
        <v>0</v>
      </c>
      <c r="U317">
        <v>0</v>
      </c>
      <c r="V317" s="9">
        <v>46189.853409826392</v>
      </c>
    </row>
    <row r="318" spans="1:22" x14ac:dyDescent="0.2">
      <c r="A318" s="8">
        <v>46126</v>
      </c>
      <c r="B318">
        <v>25</v>
      </c>
      <c r="C318">
        <v>1.5</v>
      </c>
      <c r="D318">
        <v>100504.202</v>
      </c>
      <c r="E318">
        <v>0</v>
      </c>
      <c r="F318">
        <v>2512605.0499999998</v>
      </c>
      <c r="G318">
        <v>0</v>
      </c>
      <c r="H318">
        <v>0</v>
      </c>
      <c r="I318">
        <v>2512605.0499999998</v>
      </c>
      <c r="J318">
        <v>72000</v>
      </c>
      <c r="K318">
        <v>0</v>
      </c>
      <c r="L318">
        <v>477394.95</v>
      </c>
      <c r="M318">
        <v>3062000</v>
      </c>
      <c r="N318">
        <v>0</v>
      </c>
      <c r="O318">
        <v>2512605.0499999998</v>
      </c>
      <c r="P318">
        <v>803079</v>
      </c>
      <c r="Q318">
        <v>1709526.05</v>
      </c>
      <c r="R318">
        <v>0</v>
      </c>
      <c r="S318">
        <v>37</v>
      </c>
      <c r="T318">
        <v>0</v>
      </c>
      <c r="U318">
        <v>0</v>
      </c>
      <c r="V318" s="9">
        <v>46189.853409826392</v>
      </c>
    </row>
    <row r="319" spans="1:22" x14ac:dyDescent="0.2">
      <c r="A319" s="8">
        <v>46127</v>
      </c>
      <c r="B319">
        <v>30</v>
      </c>
      <c r="C319">
        <v>2</v>
      </c>
      <c r="D319">
        <v>142156.86199999999</v>
      </c>
      <c r="E319">
        <v>0</v>
      </c>
      <c r="F319">
        <v>4264705.8600000003</v>
      </c>
      <c r="G319">
        <v>0</v>
      </c>
      <c r="H319">
        <v>0</v>
      </c>
      <c r="I319">
        <v>4264705.8600000003</v>
      </c>
      <c r="J319">
        <v>48000</v>
      </c>
      <c r="K319">
        <v>0</v>
      </c>
      <c r="L319">
        <v>810294.14</v>
      </c>
      <c r="M319">
        <v>5123000</v>
      </c>
      <c r="N319">
        <v>58823.519999999997</v>
      </c>
      <c r="O319">
        <v>4205882.34</v>
      </c>
      <c r="P319">
        <v>1225767</v>
      </c>
      <c r="Q319">
        <v>2980115.34</v>
      </c>
      <c r="R319">
        <v>0</v>
      </c>
      <c r="S319">
        <v>59</v>
      </c>
      <c r="T319">
        <v>0</v>
      </c>
      <c r="U319">
        <v>0</v>
      </c>
      <c r="V319" s="9">
        <v>46189.853409826392</v>
      </c>
    </row>
    <row r="320" spans="1:22" x14ac:dyDescent="0.2">
      <c r="A320" s="8">
        <v>46128</v>
      </c>
      <c r="B320">
        <v>24</v>
      </c>
      <c r="C320">
        <v>4.2</v>
      </c>
      <c r="D320">
        <v>191695.02600000001</v>
      </c>
      <c r="E320">
        <v>0</v>
      </c>
      <c r="F320">
        <v>4751941.1399999997</v>
      </c>
      <c r="G320">
        <v>-117647.05</v>
      </c>
      <c r="H320">
        <v>0</v>
      </c>
      <c r="I320">
        <v>4634294.09</v>
      </c>
      <c r="J320">
        <v>56000</v>
      </c>
      <c r="K320">
        <v>0</v>
      </c>
      <c r="L320">
        <v>861705.91</v>
      </c>
      <c r="M320">
        <v>5552000</v>
      </c>
      <c r="N320">
        <v>42016.81</v>
      </c>
      <c r="O320">
        <v>4592277.28</v>
      </c>
      <c r="P320">
        <v>1469776</v>
      </c>
      <c r="Q320">
        <v>3122501.28</v>
      </c>
      <c r="R320">
        <v>170000</v>
      </c>
      <c r="S320">
        <v>102</v>
      </c>
      <c r="T320">
        <v>0</v>
      </c>
      <c r="U320">
        <v>170000</v>
      </c>
      <c r="V320" s="9">
        <v>46189.853409826392</v>
      </c>
    </row>
    <row r="321" spans="1:22" x14ac:dyDescent="0.2">
      <c r="A321" s="8">
        <v>46129</v>
      </c>
      <c r="B321">
        <v>23</v>
      </c>
      <c r="C321">
        <v>1.8</v>
      </c>
      <c r="D321">
        <v>142854.58499999999</v>
      </c>
      <c r="E321">
        <v>0</v>
      </c>
      <c r="F321">
        <v>3285655.46</v>
      </c>
      <c r="G321">
        <v>0</v>
      </c>
      <c r="H321">
        <v>0</v>
      </c>
      <c r="I321">
        <v>3285655.46</v>
      </c>
      <c r="J321">
        <v>100000</v>
      </c>
      <c r="K321">
        <v>0</v>
      </c>
      <c r="L321">
        <v>596344.54</v>
      </c>
      <c r="M321">
        <v>3982000</v>
      </c>
      <c r="N321">
        <v>0</v>
      </c>
      <c r="O321">
        <v>3285655.46</v>
      </c>
      <c r="P321">
        <v>1135847</v>
      </c>
      <c r="Q321">
        <v>2149808.46</v>
      </c>
      <c r="R321">
        <v>0</v>
      </c>
      <c r="S321">
        <v>41</v>
      </c>
      <c r="T321">
        <v>0</v>
      </c>
      <c r="U321">
        <v>0</v>
      </c>
      <c r="V321" s="9">
        <v>46189.853409826392</v>
      </c>
    </row>
    <row r="322" spans="1:22" x14ac:dyDescent="0.2">
      <c r="A322" s="8">
        <v>46130</v>
      </c>
      <c r="B322">
        <v>28</v>
      </c>
      <c r="C322">
        <v>2.4</v>
      </c>
      <c r="D322">
        <v>154141.65700000001</v>
      </c>
      <c r="E322">
        <v>0</v>
      </c>
      <c r="F322">
        <v>4315966.4000000004</v>
      </c>
      <c r="G322">
        <v>0</v>
      </c>
      <c r="H322">
        <v>0</v>
      </c>
      <c r="I322">
        <v>4315966.4000000004</v>
      </c>
      <c r="J322">
        <v>36000</v>
      </c>
      <c r="K322">
        <v>0</v>
      </c>
      <c r="L322">
        <v>782033.6</v>
      </c>
      <c r="M322">
        <v>5134000</v>
      </c>
      <c r="N322">
        <v>0</v>
      </c>
      <c r="O322">
        <v>4315966.4000000004</v>
      </c>
      <c r="P322">
        <v>1281506</v>
      </c>
      <c r="Q322">
        <v>3034460.4</v>
      </c>
      <c r="R322">
        <v>0</v>
      </c>
      <c r="S322">
        <v>67</v>
      </c>
      <c r="T322">
        <v>0</v>
      </c>
      <c r="U322">
        <v>0</v>
      </c>
      <c r="V322" s="9">
        <v>46189.853409826392</v>
      </c>
    </row>
    <row r="323" spans="1:22" x14ac:dyDescent="0.2">
      <c r="A323" s="8">
        <v>46131</v>
      </c>
      <c r="B323">
        <v>14</v>
      </c>
      <c r="C323">
        <v>1.6</v>
      </c>
      <c r="D323">
        <v>105162.064</v>
      </c>
      <c r="E323">
        <v>0</v>
      </c>
      <c r="F323">
        <v>1472268.9</v>
      </c>
      <c r="G323">
        <v>0</v>
      </c>
      <c r="H323">
        <v>0</v>
      </c>
      <c r="I323">
        <v>1472268.9</v>
      </c>
      <c r="J323">
        <v>64000</v>
      </c>
      <c r="K323">
        <v>0</v>
      </c>
      <c r="L323">
        <v>279731.09999999998</v>
      </c>
      <c r="M323">
        <v>1816000</v>
      </c>
      <c r="N323">
        <v>0</v>
      </c>
      <c r="O323">
        <v>1472268.9</v>
      </c>
      <c r="P323">
        <v>537849</v>
      </c>
      <c r="Q323">
        <v>934419.9</v>
      </c>
      <c r="R323">
        <v>0</v>
      </c>
      <c r="S323">
        <v>23</v>
      </c>
      <c r="T323">
        <v>0</v>
      </c>
      <c r="U323">
        <v>0</v>
      </c>
      <c r="V323" s="9">
        <v>46189.853409826392</v>
      </c>
    </row>
    <row r="324" spans="1:22" x14ac:dyDescent="0.2">
      <c r="A324" s="8">
        <v>46132</v>
      </c>
      <c r="B324">
        <v>30</v>
      </c>
      <c r="C324">
        <v>2.4</v>
      </c>
      <c r="D324">
        <v>160431.372</v>
      </c>
      <c r="E324">
        <v>-3</v>
      </c>
      <c r="F324">
        <v>5153025.2</v>
      </c>
      <c r="G324">
        <v>0</v>
      </c>
      <c r="H324">
        <v>-247647.06</v>
      </c>
      <c r="I324">
        <v>4905378.1399999997</v>
      </c>
      <c r="J324">
        <v>40000</v>
      </c>
      <c r="K324">
        <v>0</v>
      </c>
      <c r="L324">
        <v>882621.86</v>
      </c>
      <c r="M324">
        <v>5828000</v>
      </c>
      <c r="N324">
        <v>0</v>
      </c>
      <c r="O324">
        <v>4905378.1399999997</v>
      </c>
      <c r="P324">
        <v>1298282</v>
      </c>
      <c r="Q324">
        <v>3607096.14</v>
      </c>
      <c r="R324">
        <v>100000</v>
      </c>
      <c r="S324">
        <v>73</v>
      </c>
      <c r="T324">
        <v>0</v>
      </c>
      <c r="U324">
        <v>100000</v>
      </c>
      <c r="V324" s="9">
        <v>46189.853409826392</v>
      </c>
    </row>
    <row r="325" spans="1:22" x14ac:dyDescent="0.2">
      <c r="A325" s="8">
        <v>46133</v>
      </c>
      <c r="B325">
        <v>26</v>
      </c>
      <c r="C325">
        <v>2.8</v>
      </c>
      <c r="D325">
        <v>167404.65299999999</v>
      </c>
      <c r="E325">
        <v>0</v>
      </c>
      <c r="F325">
        <v>4405882.32</v>
      </c>
      <c r="G325">
        <v>-11344.53</v>
      </c>
      <c r="H325">
        <v>0</v>
      </c>
      <c r="I325">
        <v>4394537.79</v>
      </c>
      <c r="J325">
        <v>100000</v>
      </c>
      <c r="K325">
        <v>0</v>
      </c>
      <c r="L325">
        <v>834962.21</v>
      </c>
      <c r="M325">
        <v>5329500</v>
      </c>
      <c r="N325">
        <v>0</v>
      </c>
      <c r="O325">
        <v>4394537.79</v>
      </c>
      <c r="P325">
        <v>1365625</v>
      </c>
      <c r="Q325">
        <v>3028912.79</v>
      </c>
      <c r="R325">
        <v>0</v>
      </c>
      <c r="S325">
        <v>75</v>
      </c>
      <c r="T325">
        <v>0</v>
      </c>
      <c r="U325">
        <v>0</v>
      </c>
      <c r="V325" s="9">
        <v>46189.853409826392</v>
      </c>
    </row>
    <row r="326" spans="1:22" x14ac:dyDescent="0.2">
      <c r="A326" s="8">
        <v>46134</v>
      </c>
      <c r="B326">
        <v>23</v>
      </c>
      <c r="C326">
        <v>2</v>
      </c>
      <c r="D326">
        <v>130378.51700000001</v>
      </c>
      <c r="E326">
        <v>0</v>
      </c>
      <c r="F326">
        <v>2998705.9</v>
      </c>
      <c r="G326">
        <v>0</v>
      </c>
      <c r="H326">
        <v>0</v>
      </c>
      <c r="I326">
        <v>2998705.9</v>
      </c>
      <c r="J326">
        <v>108000</v>
      </c>
      <c r="K326">
        <v>0</v>
      </c>
      <c r="L326">
        <v>525294.1</v>
      </c>
      <c r="M326">
        <v>3632000</v>
      </c>
      <c r="N326">
        <v>0</v>
      </c>
      <c r="O326">
        <v>2998705.9</v>
      </c>
      <c r="P326">
        <v>992995</v>
      </c>
      <c r="Q326">
        <v>2005710.9</v>
      </c>
      <c r="R326">
        <v>0</v>
      </c>
      <c r="S326">
        <v>46</v>
      </c>
      <c r="T326">
        <v>0</v>
      </c>
      <c r="U326">
        <v>0</v>
      </c>
      <c r="V326" s="9">
        <v>46189.853409826392</v>
      </c>
    </row>
    <row r="327" spans="1:22" x14ac:dyDescent="0.2">
      <c r="A327" s="8">
        <v>46135</v>
      </c>
      <c r="B327">
        <v>19</v>
      </c>
      <c r="C327">
        <v>2.1</v>
      </c>
      <c r="D327">
        <v>154721.804</v>
      </c>
      <c r="E327">
        <v>0</v>
      </c>
      <c r="F327">
        <v>2939714.29</v>
      </c>
      <c r="G327">
        <v>0</v>
      </c>
      <c r="H327">
        <v>0</v>
      </c>
      <c r="I327">
        <v>2939714.29</v>
      </c>
      <c r="J327">
        <v>48000</v>
      </c>
      <c r="K327">
        <v>0</v>
      </c>
      <c r="L327">
        <v>538785.71</v>
      </c>
      <c r="M327">
        <v>3526500</v>
      </c>
      <c r="N327">
        <v>0</v>
      </c>
      <c r="O327">
        <v>2939714.29</v>
      </c>
      <c r="P327">
        <v>1009018</v>
      </c>
      <c r="Q327">
        <v>1930696.29</v>
      </c>
      <c r="R327">
        <v>0</v>
      </c>
      <c r="S327">
        <v>40</v>
      </c>
      <c r="T327">
        <v>0</v>
      </c>
      <c r="U327">
        <v>0</v>
      </c>
      <c r="V327" s="9">
        <v>46189.853409826392</v>
      </c>
    </row>
    <row r="328" spans="1:22" x14ac:dyDescent="0.2">
      <c r="A328" s="8">
        <v>46136</v>
      </c>
      <c r="B328">
        <v>22</v>
      </c>
      <c r="C328">
        <v>2.2000000000000002</v>
      </c>
      <c r="D328">
        <v>124522.575</v>
      </c>
      <c r="E328">
        <v>0</v>
      </c>
      <c r="F328">
        <v>2739496.65</v>
      </c>
      <c r="G328">
        <v>0</v>
      </c>
      <c r="H328">
        <v>0</v>
      </c>
      <c r="I328">
        <v>2739496.65</v>
      </c>
      <c r="J328">
        <v>60000</v>
      </c>
      <c r="K328">
        <v>0</v>
      </c>
      <c r="L328">
        <v>520504.35</v>
      </c>
      <c r="M328">
        <v>3320001</v>
      </c>
      <c r="N328">
        <v>0.84</v>
      </c>
      <c r="O328">
        <v>2739495.81</v>
      </c>
      <c r="P328">
        <v>821179</v>
      </c>
      <c r="Q328">
        <v>1918316.81</v>
      </c>
      <c r="R328">
        <v>0</v>
      </c>
      <c r="S328">
        <v>49</v>
      </c>
      <c r="T328">
        <v>0</v>
      </c>
      <c r="U328">
        <v>0</v>
      </c>
      <c r="V328" s="9">
        <v>46189.853409826392</v>
      </c>
    </row>
    <row r="329" spans="1:22" x14ac:dyDescent="0.2">
      <c r="A329" s="8">
        <v>46137</v>
      </c>
      <c r="B329">
        <v>38</v>
      </c>
      <c r="C329">
        <v>1.8</v>
      </c>
      <c r="D329">
        <v>125279.522</v>
      </c>
      <c r="E329">
        <v>0</v>
      </c>
      <c r="F329">
        <v>4866084.0199999996</v>
      </c>
      <c r="G329">
        <v>-105462.17</v>
      </c>
      <c r="H329">
        <v>0</v>
      </c>
      <c r="I329">
        <v>4760621.8499999996</v>
      </c>
      <c r="J329">
        <v>48000</v>
      </c>
      <c r="K329">
        <v>0</v>
      </c>
      <c r="L329">
        <v>865378.15</v>
      </c>
      <c r="M329">
        <v>5674000</v>
      </c>
      <c r="N329">
        <v>335092.44</v>
      </c>
      <c r="O329">
        <v>4425529.41</v>
      </c>
      <c r="P329">
        <v>1314787</v>
      </c>
      <c r="Q329">
        <v>3110742.41</v>
      </c>
      <c r="R329">
        <v>0</v>
      </c>
      <c r="S329">
        <v>70</v>
      </c>
      <c r="T329">
        <v>0</v>
      </c>
      <c r="U329">
        <v>0</v>
      </c>
      <c r="V329" s="9">
        <v>46189.853409826392</v>
      </c>
    </row>
    <row r="330" spans="1:22" x14ac:dyDescent="0.2">
      <c r="A330" s="8">
        <v>46138</v>
      </c>
      <c r="B330">
        <v>18</v>
      </c>
      <c r="C330">
        <v>1.8</v>
      </c>
      <c r="D330">
        <v>115079.36599999999</v>
      </c>
      <c r="E330">
        <v>0</v>
      </c>
      <c r="F330">
        <v>2071428.59</v>
      </c>
      <c r="G330">
        <v>0</v>
      </c>
      <c r="H330">
        <v>0</v>
      </c>
      <c r="I330">
        <v>2071428.59</v>
      </c>
      <c r="J330">
        <v>68000</v>
      </c>
      <c r="K330">
        <v>0</v>
      </c>
      <c r="L330">
        <v>393571.41</v>
      </c>
      <c r="M330">
        <v>2533000</v>
      </c>
      <c r="N330">
        <v>0</v>
      </c>
      <c r="O330">
        <v>2071428.59</v>
      </c>
      <c r="P330">
        <v>639616</v>
      </c>
      <c r="Q330">
        <v>1431812.59</v>
      </c>
      <c r="R330">
        <v>0</v>
      </c>
      <c r="S330">
        <v>33</v>
      </c>
      <c r="T330">
        <v>0</v>
      </c>
      <c r="U330">
        <v>0</v>
      </c>
      <c r="V330" s="9">
        <v>46189.853409826392</v>
      </c>
    </row>
    <row r="331" spans="1:22" x14ac:dyDescent="0.2">
      <c r="A331" s="8">
        <v>46139</v>
      </c>
      <c r="B331">
        <v>22</v>
      </c>
      <c r="C331">
        <v>3.3</v>
      </c>
      <c r="D331">
        <v>227544.30900000001</v>
      </c>
      <c r="E331">
        <v>0</v>
      </c>
      <c r="F331">
        <v>5005974.8099999996</v>
      </c>
      <c r="G331">
        <v>0</v>
      </c>
      <c r="H331">
        <v>0</v>
      </c>
      <c r="I331">
        <v>5005974.8099999996</v>
      </c>
      <c r="J331">
        <v>48000</v>
      </c>
      <c r="K331">
        <v>0</v>
      </c>
      <c r="L331">
        <v>919025.19</v>
      </c>
      <c r="M331">
        <v>5973000</v>
      </c>
      <c r="N331">
        <v>240428.57</v>
      </c>
      <c r="O331">
        <v>4765546.24</v>
      </c>
      <c r="P331">
        <v>1524333</v>
      </c>
      <c r="Q331">
        <v>3241213.24</v>
      </c>
      <c r="R331">
        <v>0</v>
      </c>
      <c r="S331">
        <v>73</v>
      </c>
      <c r="T331">
        <v>0</v>
      </c>
      <c r="U331">
        <v>0</v>
      </c>
      <c r="V331" s="9">
        <v>46189.853409826392</v>
      </c>
    </row>
    <row r="332" spans="1:22" x14ac:dyDescent="0.2">
      <c r="A332" s="8">
        <v>46140</v>
      </c>
      <c r="B332">
        <v>29</v>
      </c>
      <c r="C332">
        <v>1.7</v>
      </c>
      <c r="D332">
        <v>113155.605</v>
      </c>
      <c r="E332">
        <v>-3</v>
      </c>
      <c r="F332">
        <v>3495714.25</v>
      </c>
      <c r="G332">
        <v>-214201.68</v>
      </c>
      <c r="H332">
        <v>0</v>
      </c>
      <c r="I332">
        <v>3281512.57</v>
      </c>
      <c r="J332">
        <v>80000</v>
      </c>
      <c r="K332">
        <v>0</v>
      </c>
      <c r="L332">
        <v>623487.43000000005</v>
      </c>
      <c r="M332">
        <v>3985000</v>
      </c>
      <c r="N332">
        <v>0</v>
      </c>
      <c r="O332">
        <v>3281512.57</v>
      </c>
      <c r="P332">
        <v>1004580</v>
      </c>
      <c r="Q332">
        <v>2276932.5699999998</v>
      </c>
      <c r="R332">
        <v>0</v>
      </c>
      <c r="S332">
        <v>46</v>
      </c>
      <c r="T332">
        <v>0</v>
      </c>
      <c r="U332">
        <v>0</v>
      </c>
      <c r="V332" s="9">
        <v>46189.853409826392</v>
      </c>
    </row>
    <row r="333" spans="1:22" x14ac:dyDescent="0.2">
      <c r="A333" s="8">
        <v>46141</v>
      </c>
      <c r="B333">
        <v>25</v>
      </c>
      <c r="C333">
        <v>1.8</v>
      </c>
      <c r="D333">
        <v>134655.462</v>
      </c>
      <c r="E333">
        <v>0</v>
      </c>
      <c r="F333">
        <v>3366386.57</v>
      </c>
      <c r="G333">
        <v>0</v>
      </c>
      <c r="H333">
        <v>0</v>
      </c>
      <c r="I333">
        <v>3366386.57</v>
      </c>
      <c r="J333">
        <v>88000</v>
      </c>
      <c r="K333">
        <v>0</v>
      </c>
      <c r="L333">
        <v>639613.43000000005</v>
      </c>
      <c r="M333">
        <v>4094000</v>
      </c>
      <c r="N333">
        <v>0</v>
      </c>
      <c r="O333">
        <v>3366386.57</v>
      </c>
      <c r="P333">
        <v>986494</v>
      </c>
      <c r="Q333">
        <v>2379892.5699999998</v>
      </c>
      <c r="R333">
        <v>0</v>
      </c>
      <c r="S333">
        <v>44</v>
      </c>
      <c r="T333">
        <v>0</v>
      </c>
      <c r="U333">
        <v>0</v>
      </c>
      <c r="V333" s="9">
        <v>46189.853409826392</v>
      </c>
    </row>
    <row r="334" spans="1:22" x14ac:dyDescent="0.2">
      <c r="A334" s="8">
        <v>46142</v>
      </c>
      <c r="B334">
        <v>41</v>
      </c>
      <c r="C334">
        <v>2.5</v>
      </c>
      <c r="D334">
        <v>162392.318</v>
      </c>
      <c r="E334">
        <v>-2</v>
      </c>
      <c r="F334">
        <v>6742118.6600000001</v>
      </c>
      <c r="G334">
        <v>0</v>
      </c>
      <c r="H334">
        <v>-94117.64</v>
      </c>
      <c r="I334">
        <v>6648001.0199999996</v>
      </c>
      <c r="J334">
        <v>52000</v>
      </c>
      <c r="K334">
        <v>0</v>
      </c>
      <c r="L334">
        <v>1244499.98</v>
      </c>
      <c r="M334">
        <v>7944501</v>
      </c>
      <c r="N334">
        <v>390757.3</v>
      </c>
      <c r="O334">
        <v>6257243.7199999997</v>
      </c>
      <c r="P334">
        <v>1725692</v>
      </c>
      <c r="Q334">
        <v>4531551.72</v>
      </c>
      <c r="R334">
        <v>0</v>
      </c>
      <c r="S334">
        <v>101</v>
      </c>
      <c r="T334">
        <v>0</v>
      </c>
      <c r="U334">
        <v>0</v>
      </c>
      <c r="V334" s="9">
        <v>46189.853409826392</v>
      </c>
    </row>
    <row r="335" spans="1:22" x14ac:dyDescent="0.2">
      <c r="A335" s="8">
        <v>46143</v>
      </c>
      <c r="B335">
        <v>80</v>
      </c>
      <c r="C335">
        <v>3.8</v>
      </c>
      <c r="D335">
        <v>129213.446</v>
      </c>
      <c r="E335">
        <v>-10</v>
      </c>
      <c r="F335">
        <v>10587764.779999999</v>
      </c>
      <c r="G335">
        <v>-28000</v>
      </c>
      <c r="H335">
        <v>-218487.38</v>
      </c>
      <c r="I335">
        <v>10341277.4</v>
      </c>
      <c r="J335">
        <v>108000</v>
      </c>
      <c r="K335">
        <v>0</v>
      </c>
      <c r="L335">
        <v>1936722.6</v>
      </c>
      <c r="M335">
        <v>12386000</v>
      </c>
      <c r="N335">
        <v>0</v>
      </c>
      <c r="O335">
        <v>10341277.4</v>
      </c>
      <c r="P335">
        <v>3818840</v>
      </c>
      <c r="Q335">
        <v>6522437.4000000004</v>
      </c>
      <c r="R335">
        <v>0</v>
      </c>
      <c r="S335">
        <v>294</v>
      </c>
      <c r="T335">
        <v>0</v>
      </c>
      <c r="U335">
        <v>0</v>
      </c>
      <c r="V335" s="9">
        <v>46189.853409826392</v>
      </c>
    </row>
    <row r="336" spans="1:22" x14ac:dyDescent="0.2">
      <c r="A336" s="8">
        <v>46144</v>
      </c>
      <c r="B336">
        <v>68</v>
      </c>
      <c r="C336">
        <v>2.1</v>
      </c>
      <c r="D336">
        <v>115472.071</v>
      </c>
      <c r="E336">
        <v>-4</v>
      </c>
      <c r="F336">
        <v>7860504.1900000004</v>
      </c>
      <c r="G336">
        <v>-8403.35</v>
      </c>
      <c r="H336">
        <v>-40336.120000000003</v>
      </c>
      <c r="I336">
        <v>7811764.7199999997</v>
      </c>
      <c r="J336">
        <v>184000</v>
      </c>
      <c r="K336">
        <v>0</v>
      </c>
      <c r="L336">
        <v>1484235.28</v>
      </c>
      <c r="M336">
        <v>9480000</v>
      </c>
      <c r="N336">
        <v>0</v>
      </c>
      <c r="O336">
        <v>7811764.7199999997</v>
      </c>
      <c r="P336">
        <v>1867141</v>
      </c>
      <c r="Q336">
        <v>5944623.7199999997</v>
      </c>
      <c r="R336">
        <v>0</v>
      </c>
      <c r="S336">
        <v>141</v>
      </c>
      <c r="T336">
        <v>0</v>
      </c>
      <c r="U336">
        <v>0</v>
      </c>
      <c r="V336" s="9">
        <v>46189.853409826392</v>
      </c>
    </row>
    <row r="337" spans="1:22" x14ac:dyDescent="0.2">
      <c r="A337" s="8">
        <v>46145</v>
      </c>
      <c r="B337">
        <v>77</v>
      </c>
      <c r="C337">
        <v>2</v>
      </c>
      <c r="D337">
        <v>116053.694</v>
      </c>
      <c r="E337">
        <v>-7</v>
      </c>
      <c r="F337">
        <v>8978151.2400000002</v>
      </c>
      <c r="G337">
        <v>-42016.800000000003</v>
      </c>
      <c r="H337">
        <v>-70588.210000000006</v>
      </c>
      <c r="I337">
        <v>8865546.2300000004</v>
      </c>
      <c r="J337">
        <v>136000</v>
      </c>
      <c r="K337">
        <v>0</v>
      </c>
      <c r="L337">
        <v>1684453.77</v>
      </c>
      <c r="M337">
        <v>10686000</v>
      </c>
      <c r="N337">
        <v>268907.57</v>
      </c>
      <c r="O337">
        <v>8596638.6600000001</v>
      </c>
      <c r="P337">
        <v>2310896</v>
      </c>
      <c r="Q337">
        <v>6285742.6600000001</v>
      </c>
      <c r="R337">
        <v>0</v>
      </c>
      <c r="S337">
        <v>147</v>
      </c>
      <c r="T337">
        <v>0</v>
      </c>
      <c r="U337">
        <v>0</v>
      </c>
      <c r="V337" s="9">
        <v>46189.853409826392</v>
      </c>
    </row>
    <row r="338" spans="1:22" x14ac:dyDescent="0.2">
      <c r="A338" s="8">
        <v>46146</v>
      </c>
      <c r="B338">
        <v>32</v>
      </c>
      <c r="C338">
        <v>2.2000000000000002</v>
      </c>
      <c r="D338">
        <v>146725.57699999999</v>
      </c>
      <c r="E338">
        <v>0</v>
      </c>
      <c r="F338">
        <v>4765806.6900000004</v>
      </c>
      <c r="G338">
        <v>-70588.22</v>
      </c>
      <c r="H338">
        <v>0</v>
      </c>
      <c r="I338">
        <v>4695218.47</v>
      </c>
      <c r="J338">
        <v>140000</v>
      </c>
      <c r="K338">
        <v>0</v>
      </c>
      <c r="L338">
        <v>882781.53</v>
      </c>
      <c r="M338">
        <v>5718000</v>
      </c>
      <c r="N338">
        <v>0</v>
      </c>
      <c r="O338">
        <v>4695218.47</v>
      </c>
      <c r="P338">
        <v>1610624</v>
      </c>
      <c r="Q338">
        <v>3084594.47</v>
      </c>
      <c r="R338">
        <v>0</v>
      </c>
      <c r="S338">
        <v>70</v>
      </c>
      <c r="T338">
        <v>0</v>
      </c>
      <c r="U338">
        <v>0</v>
      </c>
      <c r="V338" s="9">
        <v>46189.853409826392</v>
      </c>
    </row>
    <row r="339" spans="1:22" x14ac:dyDescent="0.2">
      <c r="A339" s="8">
        <v>46147</v>
      </c>
      <c r="B339">
        <v>29</v>
      </c>
      <c r="C339">
        <v>2.4</v>
      </c>
      <c r="D339">
        <v>160822.95000000001</v>
      </c>
      <c r="E339">
        <v>0</v>
      </c>
      <c r="F339">
        <v>4663865.57</v>
      </c>
      <c r="G339">
        <v>0</v>
      </c>
      <c r="H339">
        <v>0</v>
      </c>
      <c r="I339">
        <v>4663865.57</v>
      </c>
      <c r="J339">
        <v>64000</v>
      </c>
      <c r="K339">
        <v>0</v>
      </c>
      <c r="L339">
        <v>886134.43</v>
      </c>
      <c r="M339">
        <v>5614000</v>
      </c>
      <c r="N339">
        <v>0</v>
      </c>
      <c r="O339">
        <v>4663865.57</v>
      </c>
      <c r="P339">
        <v>1609236</v>
      </c>
      <c r="Q339">
        <v>3054629.57</v>
      </c>
      <c r="R339">
        <v>0</v>
      </c>
      <c r="S339">
        <v>69</v>
      </c>
      <c r="T339">
        <v>0</v>
      </c>
      <c r="U339">
        <v>0</v>
      </c>
      <c r="V339" s="9">
        <v>46189.853409826392</v>
      </c>
    </row>
    <row r="340" spans="1:22" x14ac:dyDescent="0.2">
      <c r="A340" s="8">
        <v>46148</v>
      </c>
      <c r="B340">
        <v>44</v>
      </c>
      <c r="C340">
        <v>2.1</v>
      </c>
      <c r="D340">
        <v>147087.49400000001</v>
      </c>
      <c r="E340">
        <v>-12</v>
      </c>
      <c r="F340">
        <v>6814286.6900000004</v>
      </c>
      <c r="G340">
        <v>-135294.07</v>
      </c>
      <c r="H340">
        <v>-504285.72</v>
      </c>
      <c r="I340">
        <v>6174706.9000000004</v>
      </c>
      <c r="J340">
        <v>104001</v>
      </c>
      <c r="K340">
        <v>0</v>
      </c>
      <c r="L340">
        <v>1173194.1000000001</v>
      </c>
      <c r="M340">
        <v>7451902</v>
      </c>
      <c r="N340">
        <v>-225713.29</v>
      </c>
      <c r="O340">
        <v>6400420.1900000004</v>
      </c>
      <c r="P340">
        <v>2015146</v>
      </c>
      <c r="Q340">
        <v>4385274.1900000004</v>
      </c>
      <c r="R340">
        <v>0</v>
      </c>
      <c r="S340">
        <v>84</v>
      </c>
      <c r="T340">
        <v>0</v>
      </c>
      <c r="U340">
        <v>0</v>
      </c>
      <c r="V340" s="9">
        <v>46189.853409826392</v>
      </c>
    </row>
    <row r="341" spans="1:22" x14ac:dyDescent="0.2">
      <c r="A341" s="8">
        <v>46149</v>
      </c>
      <c r="B341">
        <v>41</v>
      </c>
      <c r="C341">
        <v>1.9</v>
      </c>
      <c r="D341">
        <v>118466.899</v>
      </c>
      <c r="E341">
        <v>0</v>
      </c>
      <c r="F341">
        <v>4857142.8600000003</v>
      </c>
      <c r="G341">
        <v>0</v>
      </c>
      <c r="H341">
        <v>0</v>
      </c>
      <c r="I341">
        <v>4857142.8600000003</v>
      </c>
      <c r="J341">
        <v>108000</v>
      </c>
      <c r="K341">
        <v>0</v>
      </c>
      <c r="L341">
        <v>922857.14</v>
      </c>
      <c r="M341">
        <v>5888000</v>
      </c>
      <c r="N341">
        <v>168067.23</v>
      </c>
      <c r="O341">
        <v>4689075.63</v>
      </c>
      <c r="P341">
        <v>1245506</v>
      </c>
      <c r="Q341">
        <v>3443569.63</v>
      </c>
      <c r="R341">
        <v>0</v>
      </c>
      <c r="S341">
        <v>78</v>
      </c>
      <c r="T341">
        <v>0</v>
      </c>
      <c r="U341">
        <v>0</v>
      </c>
      <c r="V341" s="9">
        <v>46189.853409826392</v>
      </c>
    </row>
    <row r="342" spans="1:22" x14ac:dyDescent="0.2">
      <c r="A342" s="8">
        <v>46150</v>
      </c>
      <c r="B342">
        <v>46</v>
      </c>
      <c r="C342">
        <v>2.4</v>
      </c>
      <c r="D342">
        <v>116245.158</v>
      </c>
      <c r="E342">
        <v>-3</v>
      </c>
      <c r="F342">
        <v>5749798.2800000003</v>
      </c>
      <c r="G342">
        <v>-121008.37</v>
      </c>
      <c r="H342">
        <v>-205882.35</v>
      </c>
      <c r="I342">
        <v>5422907.5599999996</v>
      </c>
      <c r="J342">
        <v>92000</v>
      </c>
      <c r="K342">
        <v>0</v>
      </c>
      <c r="L342">
        <v>1020092.44</v>
      </c>
      <c r="M342">
        <v>6535000</v>
      </c>
      <c r="N342">
        <v>0</v>
      </c>
      <c r="O342">
        <v>5422907.5599999996</v>
      </c>
      <c r="P342">
        <v>1137629</v>
      </c>
      <c r="Q342">
        <v>4285278.5599999996</v>
      </c>
      <c r="R342">
        <v>100000</v>
      </c>
      <c r="S342">
        <v>113</v>
      </c>
      <c r="T342">
        <v>0</v>
      </c>
      <c r="U342">
        <v>100000</v>
      </c>
      <c r="V342" s="9">
        <v>46189.853409826392</v>
      </c>
    </row>
    <row r="343" spans="1:22" x14ac:dyDescent="0.2">
      <c r="A343" s="8">
        <v>46151</v>
      </c>
      <c r="B343">
        <v>68</v>
      </c>
      <c r="C343">
        <v>2.4</v>
      </c>
      <c r="D343">
        <v>132266.93</v>
      </c>
      <c r="E343">
        <v>-4</v>
      </c>
      <c r="F343">
        <v>8998352.9299999997</v>
      </c>
      <c r="G343">
        <v>-4201.67</v>
      </c>
      <c r="H343">
        <v>-197479</v>
      </c>
      <c r="I343">
        <v>8796672.2599999998</v>
      </c>
      <c r="J343">
        <v>80000</v>
      </c>
      <c r="K343">
        <v>0</v>
      </c>
      <c r="L343">
        <v>1649327.74</v>
      </c>
      <c r="M343">
        <v>10526000</v>
      </c>
      <c r="N343">
        <v>226890.75</v>
      </c>
      <c r="O343">
        <v>8569781.5099999998</v>
      </c>
      <c r="P343">
        <v>2515408</v>
      </c>
      <c r="Q343">
        <v>6054373.5099999998</v>
      </c>
      <c r="R343">
        <v>770000</v>
      </c>
      <c r="S343">
        <v>158</v>
      </c>
      <c r="T343">
        <v>0</v>
      </c>
      <c r="U343">
        <v>770000</v>
      </c>
      <c r="V343" s="9">
        <v>46189.853409826392</v>
      </c>
    </row>
    <row r="344" spans="1:22" x14ac:dyDescent="0.2">
      <c r="A344" s="8">
        <v>46152</v>
      </c>
      <c r="B344">
        <v>22</v>
      </c>
      <c r="C344">
        <v>3.1</v>
      </c>
      <c r="D344">
        <v>149618.02799999999</v>
      </c>
      <c r="E344">
        <v>0</v>
      </c>
      <c r="F344">
        <v>3291596.63</v>
      </c>
      <c r="G344">
        <v>0</v>
      </c>
      <c r="H344">
        <v>0</v>
      </c>
      <c r="I344">
        <v>3291596.63</v>
      </c>
      <c r="J344">
        <v>44000</v>
      </c>
      <c r="K344">
        <v>0</v>
      </c>
      <c r="L344">
        <v>625403.37</v>
      </c>
      <c r="M344">
        <v>3961000</v>
      </c>
      <c r="N344">
        <v>0</v>
      </c>
      <c r="O344">
        <v>3291596.63</v>
      </c>
      <c r="P344">
        <v>1072082</v>
      </c>
      <c r="Q344">
        <v>2219514.63</v>
      </c>
      <c r="R344">
        <v>0</v>
      </c>
      <c r="S344">
        <v>68</v>
      </c>
      <c r="T344">
        <v>0</v>
      </c>
      <c r="U344">
        <v>0</v>
      </c>
      <c r="V344" s="9">
        <v>46189.853409826392</v>
      </c>
    </row>
    <row r="345" spans="1:22" x14ac:dyDescent="0.2">
      <c r="A345" s="8">
        <v>46153</v>
      </c>
      <c r="B345">
        <v>30</v>
      </c>
      <c r="C345">
        <v>1.9</v>
      </c>
      <c r="D345">
        <v>119106.723</v>
      </c>
      <c r="E345">
        <v>-1</v>
      </c>
      <c r="F345">
        <v>3774042.02</v>
      </c>
      <c r="G345">
        <v>-26470.58</v>
      </c>
      <c r="H345">
        <v>-138655.46</v>
      </c>
      <c r="I345">
        <v>3608915.98</v>
      </c>
      <c r="J345">
        <v>88000</v>
      </c>
      <c r="K345">
        <v>0</v>
      </c>
      <c r="L345">
        <v>653584.02</v>
      </c>
      <c r="M345">
        <v>4350500</v>
      </c>
      <c r="N345">
        <v>35714.29</v>
      </c>
      <c r="O345">
        <v>3573201.69</v>
      </c>
      <c r="P345">
        <v>1029363</v>
      </c>
      <c r="Q345">
        <v>2543838.69</v>
      </c>
      <c r="R345">
        <v>0</v>
      </c>
      <c r="S345">
        <v>58</v>
      </c>
      <c r="T345">
        <v>0</v>
      </c>
      <c r="U345">
        <v>0</v>
      </c>
      <c r="V345" s="9">
        <v>46189.853409826392</v>
      </c>
    </row>
    <row r="346" spans="1:22" x14ac:dyDescent="0.2">
      <c r="A346" s="8">
        <v>46154</v>
      </c>
      <c r="B346">
        <v>23</v>
      </c>
      <c r="C346">
        <v>2.8</v>
      </c>
      <c r="D346">
        <v>167884.54500000001</v>
      </c>
      <c r="E346">
        <v>-1</v>
      </c>
      <c r="F346">
        <v>4130252.11</v>
      </c>
      <c r="G346">
        <v>0</v>
      </c>
      <c r="H346">
        <v>-210084.03</v>
      </c>
      <c r="I346">
        <v>3920168.08</v>
      </c>
      <c r="J346">
        <v>116000</v>
      </c>
      <c r="K346">
        <v>0</v>
      </c>
      <c r="L346">
        <v>744831.92</v>
      </c>
      <c r="M346">
        <v>4781000</v>
      </c>
      <c r="N346">
        <v>0</v>
      </c>
      <c r="O346">
        <v>3920168.08</v>
      </c>
      <c r="P346">
        <v>1239056</v>
      </c>
      <c r="Q346">
        <v>2681112.08</v>
      </c>
      <c r="R346">
        <v>0</v>
      </c>
      <c r="S346">
        <v>65</v>
      </c>
      <c r="T346">
        <v>0</v>
      </c>
      <c r="U346">
        <v>0</v>
      </c>
      <c r="V346" s="9">
        <v>46189.853409826392</v>
      </c>
    </row>
    <row r="347" spans="1:22" x14ac:dyDescent="0.2">
      <c r="A347" s="8">
        <v>46155</v>
      </c>
      <c r="B347">
        <v>43</v>
      </c>
      <c r="C347">
        <v>6.3</v>
      </c>
      <c r="D347">
        <v>212194.644</v>
      </c>
      <c r="E347">
        <v>0</v>
      </c>
      <c r="F347">
        <v>9136974.7699999996</v>
      </c>
      <c r="G347">
        <v>-12605.04</v>
      </c>
      <c r="H347">
        <v>0</v>
      </c>
      <c r="I347">
        <v>9124369.7300000004</v>
      </c>
      <c r="J347">
        <v>116000</v>
      </c>
      <c r="K347">
        <v>0</v>
      </c>
      <c r="L347">
        <v>1733630.27</v>
      </c>
      <c r="M347">
        <v>10974000</v>
      </c>
      <c r="N347">
        <v>352941.18</v>
      </c>
      <c r="O347">
        <v>8771428.5500000007</v>
      </c>
      <c r="P347">
        <v>2550379</v>
      </c>
      <c r="Q347">
        <v>6221049.5499999998</v>
      </c>
      <c r="R347">
        <v>0</v>
      </c>
      <c r="S347">
        <v>270</v>
      </c>
      <c r="T347">
        <v>0</v>
      </c>
      <c r="U347">
        <v>0</v>
      </c>
      <c r="V347" s="9">
        <v>46189.853409826392</v>
      </c>
    </row>
    <row r="348" spans="1:22" x14ac:dyDescent="0.2">
      <c r="A348" s="8">
        <v>46156</v>
      </c>
      <c r="B348">
        <v>28</v>
      </c>
      <c r="C348">
        <v>2.7</v>
      </c>
      <c r="D348">
        <v>151830.73199999999</v>
      </c>
      <c r="E348">
        <v>0</v>
      </c>
      <c r="F348">
        <v>4251260.5</v>
      </c>
      <c r="G348">
        <v>0</v>
      </c>
      <c r="H348">
        <v>0</v>
      </c>
      <c r="I348">
        <v>4251260.5</v>
      </c>
      <c r="J348">
        <v>88000</v>
      </c>
      <c r="K348">
        <v>0</v>
      </c>
      <c r="L348">
        <v>807739.5</v>
      </c>
      <c r="M348">
        <v>5147000</v>
      </c>
      <c r="N348">
        <v>0</v>
      </c>
      <c r="O348">
        <v>4251260.5</v>
      </c>
      <c r="P348">
        <v>1267010</v>
      </c>
      <c r="Q348">
        <v>2984250.5</v>
      </c>
      <c r="R348">
        <v>0</v>
      </c>
      <c r="S348">
        <v>75</v>
      </c>
      <c r="T348">
        <v>0</v>
      </c>
      <c r="U348">
        <v>0</v>
      </c>
      <c r="V348" s="9">
        <v>46189.853409826392</v>
      </c>
    </row>
    <row r="349" spans="1:22" x14ac:dyDescent="0.2">
      <c r="A349" s="8">
        <v>46157</v>
      </c>
      <c r="B349">
        <v>29</v>
      </c>
      <c r="C349">
        <v>3</v>
      </c>
      <c r="D349">
        <v>135251.81099999999</v>
      </c>
      <c r="E349">
        <v>0</v>
      </c>
      <c r="F349">
        <v>3922302.53</v>
      </c>
      <c r="G349">
        <v>0</v>
      </c>
      <c r="H349">
        <v>0</v>
      </c>
      <c r="I349">
        <v>3922302.53</v>
      </c>
      <c r="J349">
        <v>72000</v>
      </c>
      <c r="K349">
        <v>0</v>
      </c>
      <c r="L349">
        <v>723197.47</v>
      </c>
      <c r="M349">
        <v>4717500</v>
      </c>
      <c r="N349">
        <v>168067.23</v>
      </c>
      <c r="O349">
        <v>3754235.3</v>
      </c>
      <c r="P349">
        <v>1253986</v>
      </c>
      <c r="Q349">
        <v>2500249.2999999998</v>
      </c>
      <c r="R349">
        <v>0</v>
      </c>
      <c r="S349">
        <v>87</v>
      </c>
      <c r="T349">
        <v>0</v>
      </c>
      <c r="U349">
        <v>0</v>
      </c>
      <c r="V349" s="9">
        <v>46189.853409826392</v>
      </c>
    </row>
    <row r="350" spans="1:22" x14ac:dyDescent="0.2">
      <c r="A350" s="8">
        <v>46158</v>
      </c>
      <c r="B350">
        <v>21</v>
      </c>
      <c r="C350">
        <v>1.7</v>
      </c>
      <c r="D350">
        <v>114004.401</v>
      </c>
      <c r="E350">
        <v>0</v>
      </c>
      <c r="F350">
        <v>2394092.4300000002</v>
      </c>
      <c r="G350">
        <v>0</v>
      </c>
      <c r="H350">
        <v>0</v>
      </c>
      <c r="I350">
        <v>2394092.4300000002</v>
      </c>
      <c r="J350">
        <v>84000</v>
      </c>
      <c r="K350">
        <v>0</v>
      </c>
      <c r="L350">
        <v>423907.57</v>
      </c>
      <c r="M350">
        <v>2902000</v>
      </c>
      <c r="N350">
        <v>0</v>
      </c>
      <c r="O350">
        <v>2394092.4300000002</v>
      </c>
      <c r="P350">
        <v>682237</v>
      </c>
      <c r="Q350">
        <v>1711855.43</v>
      </c>
      <c r="R350">
        <v>0</v>
      </c>
      <c r="S350">
        <v>35</v>
      </c>
      <c r="T350">
        <v>0</v>
      </c>
      <c r="U350">
        <v>0</v>
      </c>
      <c r="V350" s="9">
        <v>46189.853409826392</v>
      </c>
    </row>
    <row r="351" spans="1:22" x14ac:dyDescent="0.2">
      <c r="A351" s="8">
        <v>46159</v>
      </c>
      <c r="B351">
        <v>13</v>
      </c>
      <c r="C351">
        <v>1.9</v>
      </c>
      <c r="D351">
        <v>110702.65</v>
      </c>
      <c r="E351">
        <v>0</v>
      </c>
      <c r="F351">
        <v>1439134.45</v>
      </c>
      <c r="G351">
        <v>0</v>
      </c>
      <c r="H351">
        <v>0</v>
      </c>
      <c r="I351">
        <v>1439134.45</v>
      </c>
      <c r="J351">
        <v>28000</v>
      </c>
      <c r="K351">
        <v>0</v>
      </c>
      <c r="L351">
        <v>253865.55</v>
      </c>
      <c r="M351">
        <v>1721000</v>
      </c>
      <c r="N351">
        <v>0</v>
      </c>
      <c r="O351">
        <v>1439134.45</v>
      </c>
      <c r="P351">
        <v>479156</v>
      </c>
      <c r="Q351">
        <v>959978.45</v>
      </c>
      <c r="R351">
        <v>0</v>
      </c>
      <c r="S351">
        <v>25</v>
      </c>
      <c r="T351">
        <v>0</v>
      </c>
      <c r="U351">
        <v>0</v>
      </c>
      <c r="V351" s="9">
        <v>46189.853409826392</v>
      </c>
    </row>
    <row r="352" spans="1:22" x14ac:dyDescent="0.2">
      <c r="A352" s="8">
        <v>46160</v>
      </c>
      <c r="B352">
        <v>24</v>
      </c>
      <c r="C352">
        <v>1.4</v>
      </c>
      <c r="D352">
        <v>81055.672000000006</v>
      </c>
      <c r="E352">
        <v>0</v>
      </c>
      <c r="F352">
        <v>1945336.15</v>
      </c>
      <c r="G352">
        <v>0</v>
      </c>
      <c r="H352">
        <v>0</v>
      </c>
      <c r="I352">
        <v>1945336.15</v>
      </c>
      <c r="J352">
        <v>68000</v>
      </c>
      <c r="K352">
        <v>0</v>
      </c>
      <c r="L352">
        <v>349663.85</v>
      </c>
      <c r="M352">
        <v>2363000</v>
      </c>
      <c r="N352">
        <v>0</v>
      </c>
      <c r="O352">
        <v>1945336.15</v>
      </c>
      <c r="P352">
        <v>604308</v>
      </c>
      <c r="Q352">
        <v>1341028.1499999999</v>
      </c>
      <c r="R352">
        <v>0</v>
      </c>
      <c r="S352">
        <v>33</v>
      </c>
      <c r="T352">
        <v>0</v>
      </c>
      <c r="U352">
        <v>0</v>
      </c>
      <c r="V352" s="9">
        <v>46189.853409826392</v>
      </c>
    </row>
    <row r="353" spans="1:22" x14ac:dyDescent="0.2">
      <c r="A353" s="8">
        <v>46161</v>
      </c>
      <c r="B353">
        <v>28</v>
      </c>
      <c r="C353">
        <v>2</v>
      </c>
      <c r="D353">
        <v>133388.35500000001</v>
      </c>
      <c r="E353">
        <v>0</v>
      </c>
      <c r="F353">
        <v>3734873.95</v>
      </c>
      <c r="G353">
        <v>0</v>
      </c>
      <c r="H353">
        <v>0</v>
      </c>
      <c r="I353">
        <v>3734873.95</v>
      </c>
      <c r="J353">
        <v>76000</v>
      </c>
      <c r="K353">
        <v>0</v>
      </c>
      <c r="L353">
        <v>709626.05</v>
      </c>
      <c r="M353">
        <v>4520500</v>
      </c>
      <c r="N353">
        <v>0</v>
      </c>
      <c r="O353">
        <v>3734873.95</v>
      </c>
      <c r="P353">
        <v>942827</v>
      </c>
      <c r="Q353">
        <v>2792046.95</v>
      </c>
      <c r="R353">
        <v>0</v>
      </c>
      <c r="S353">
        <v>56</v>
      </c>
      <c r="T353">
        <v>0</v>
      </c>
      <c r="U353">
        <v>0</v>
      </c>
      <c r="V353" s="9">
        <v>46189.853409826392</v>
      </c>
    </row>
    <row r="354" spans="1:22" x14ac:dyDescent="0.2">
      <c r="A354" s="8">
        <v>46162</v>
      </c>
      <c r="B354">
        <v>31</v>
      </c>
      <c r="C354">
        <v>3.5</v>
      </c>
      <c r="D354">
        <v>211925.182</v>
      </c>
      <c r="E354">
        <v>0</v>
      </c>
      <c r="F354">
        <v>6796571.4199999999</v>
      </c>
      <c r="G354">
        <v>-226890.75</v>
      </c>
      <c r="H354">
        <v>0</v>
      </c>
      <c r="I354">
        <v>6569680.6699999999</v>
      </c>
      <c r="J354">
        <v>156000</v>
      </c>
      <c r="K354">
        <v>0</v>
      </c>
      <c r="L354">
        <v>1197319.33</v>
      </c>
      <c r="M354">
        <v>7923000</v>
      </c>
      <c r="N354">
        <v>0</v>
      </c>
      <c r="O354">
        <v>6569680.6699999999</v>
      </c>
      <c r="P354">
        <v>1789415</v>
      </c>
      <c r="Q354">
        <v>4780265.67</v>
      </c>
      <c r="R354">
        <v>0</v>
      </c>
      <c r="S354">
        <v>108</v>
      </c>
      <c r="T354">
        <v>0</v>
      </c>
      <c r="U354">
        <v>0</v>
      </c>
      <c r="V354" s="9">
        <v>46189.853409826392</v>
      </c>
    </row>
    <row r="355" spans="1:22" x14ac:dyDescent="0.2">
      <c r="A355" s="8">
        <v>46163</v>
      </c>
      <c r="B355">
        <v>14</v>
      </c>
      <c r="C355">
        <v>1.8</v>
      </c>
      <c r="D355">
        <v>104681.872</v>
      </c>
      <c r="E355">
        <v>-1</v>
      </c>
      <c r="F355">
        <v>1793277.31</v>
      </c>
      <c r="G355">
        <v>0</v>
      </c>
      <c r="H355">
        <v>-210084.03</v>
      </c>
      <c r="I355">
        <v>1583193.28</v>
      </c>
      <c r="J355">
        <v>80000</v>
      </c>
      <c r="K355">
        <v>0</v>
      </c>
      <c r="L355">
        <v>300806.71999999997</v>
      </c>
      <c r="M355">
        <v>1964000</v>
      </c>
      <c r="N355">
        <v>0</v>
      </c>
      <c r="O355">
        <v>1583193.28</v>
      </c>
      <c r="P355">
        <v>417270</v>
      </c>
      <c r="Q355">
        <v>1165923.28</v>
      </c>
      <c r="R355">
        <v>0</v>
      </c>
      <c r="S355">
        <v>26</v>
      </c>
      <c r="T355">
        <v>0</v>
      </c>
      <c r="U355">
        <v>0</v>
      </c>
      <c r="V355" s="9">
        <v>46189.853409826392</v>
      </c>
    </row>
    <row r="356" spans="1:22" x14ac:dyDescent="0.2">
      <c r="A356" s="8">
        <v>46164</v>
      </c>
      <c r="B356">
        <v>26</v>
      </c>
      <c r="C356">
        <v>1.9</v>
      </c>
      <c r="D356">
        <v>110343.245</v>
      </c>
      <c r="E356">
        <v>0</v>
      </c>
      <c r="F356">
        <v>2868924.37</v>
      </c>
      <c r="G356">
        <v>0</v>
      </c>
      <c r="H356">
        <v>0</v>
      </c>
      <c r="I356">
        <v>2868924.37</v>
      </c>
      <c r="J356">
        <v>12000</v>
      </c>
      <c r="K356">
        <v>0</v>
      </c>
      <c r="L356">
        <v>515075.63</v>
      </c>
      <c r="M356">
        <v>3396000</v>
      </c>
      <c r="N356">
        <v>0</v>
      </c>
      <c r="O356">
        <v>2868924.37</v>
      </c>
      <c r="P356">
        <v>727864</v>
      </c>
      <c r="Q356">
        <v>2141060.37</v>
      </c>
      <c r="R356">
        <v>0</v>
      </c>
      <c r="S356">
        <v>50</v>
      </c>
      <c r="T356">
        <v>0</v>
      </c>
      <c r="U356">
        <v>0</v>
      </c>
      <c r="V356" s="9">
        <v>46189.853409826392</v>
      </c>
    </row>
    <row r="357" spans="1:22" x14ac:dyDescent="0.2">
      <c r="A357" s="8">
        <v>46165</v>
      </c>
      <c r="B357">
        <v>25</v>
      </c>
      <c r="C357">
        <v>1.9</v>
      </c>
      <c r="D357">
        <v>145068.90700000001</v>
      </c>
      <c r="E357">
        <v>0</v>
      </c>
      <c r="F357">
        <v>3626722.69</v>
      </c>
      <c r="G357">
        <v>0</v>
      </c>
      <c r="H357">
        <v>0</v>
      </c>
      <c r="I357">
        <v>3626722.69</v>
      </c>
      <c r="J357">
        <v>40000</v>
      </c>
      <c r="K357">
        <v>0</v>
      </c>
      <c r="L357">
        <v>666277.31000000006</v>
      </c>
      <c r="M357">
        <v>4333000</v>
      </c>
      <c r="N357">
        <v>0</v>
      </c>
      <c r="O357">
        <v>3626722.69</v>
      </c>
      <c r="P357">
        <v>1381798</v>
      </c>
      <c r="Q357">
        <v>2244924.69</v>
      </c>
      <c r="R357">
        <v>0</v>
      </c>
      <c r="S357">
        <v>47</v>
      </c>
      <c r="T357">
        <v>0</v>
      </c>
      <c r="U357">
        <v>0</v>
      </c>
      <c r="V357" s="9">
        <v>46189.853409826392</v>
      </c>
    </row>
    <row r="358" spans="1:22" x14ac:dyDescent="0.2">
      <c r="A358" s="8">
        <v>46166</v>
      </c>
      <c r="B358">
        <v>11</v>
      </c>
      <c r="C358">
        <v>2.2000000000000002</v>
      </c>
      <c r="D358">
        <v>169496.56099999999</v>
      </c>
      <c r="E358">
        <v>-1</v>
      </c>
      <c r="F358">
        <v>1864462.18</v>
      </c>
      <c r="G358">
        <v>0</v>
      </c>
      <c r="H358">
        <v>-16806.73</v>
      </c>
      <c r="I358">
        <v>1847655.45</v>
      </c>
      <c r="J358">
        <v>24000</v>
      </c>
      <c r="K358">
        <v>0</v>
      </c>
      <c r="L358">
        <v>292344.55</v>
      </c>
      <c r="M358">
        <v>2164000</v>
      </c>
      <c r="N358">
        <v>0</v>
      </c>
      <c r="O358">
        <v>1847655.45</v>
      </c>
      <c r="P358">
        <v>726699</v>
      </c>
      <c r="Q358">
        <v>1120956.45</v>
      </c>
      <c r="R358">
        <v>0</v>
      </c>
      <c r="S358">
        <v>23</v>
      </c>
      <c r="T358">
        <v>0</v>
      </c>
      <c r="U358">
        <v>0</v>
      </c>
      <c r="V358" s="9">
        <v>46189.853409826392</v>
      </c>
    </row>
    <row r="359" spans="1:22" x14ac:dyDescent="0.2">
      <c r="A359" s="8">
        <v>46167</v>
      </c>
      <c r="B359">
        <v>21</v>
      </c>
      <c r="C359">
        <v>2</v>
      </c>
      <c r="D359">
        <v>127350.94</v>
      </c>
      <c r="E359">
        <v>0</v>
      </c>
      <c r="F359">
        <v>2733193.28</v>
      </c>
      <c r="G359">
        <v>0</v>
      </c>
      <c r="H359">
        <v>0</v>
      </c>
      <c r="I359">
        <v>2733193.28</v>
      </c>
      <c r="J359">
        <v>56000</v>
      </c>
      <c r="K359">
        <v>0</v>
      </c>
      <c r="L359">
        <v>519306.72</v>
      </c>
      <c r="M359">
        <v>3308500</v>
      </c>
      <c r="N359">
        <v>0</v>
      </c>
      <c r="O359">
        <v>2733193.28</v>
      </c>
      <c r="P359">
        <v>785611</v>
      </c>
      <c r="Q359">
        <v>1947582.28</v>
      </c>
      <c r="R359">
        <v>0</v>
      </c>
      <c r="S359">
        <v>44</v>
      </c>
      <c r="T359">
        <v>0</v>
      </c>
      <c r="U359">
        <v>0</v>
      </c>
      <c r="V359" s="9">
        <v>46189.853409826392</v>
      </c>
    </row>
    <row r="360" spans="1:22" x14ac:dyDescent="0.2">
      <c r="A360" s="8">
        <v>46168</v>
      </c>
      <c r="B360">
        <v>21</v>
      </c>
      <c r="C360">
        <v>1.6</v>
      </c>
      <c r="D360">
        <v>99625.85</v>
      </c>
      <c r="E360">
        <v>0</v>
      </c>
      <c r="F360">
        <v>2092142.87</v>
      </c>
      <c r="G360">
        <v>0</v>
      </c>
      <c r="H360">
        <v>0</v>
      </c>
      <c r="I360">
        <v>2092142.87</v>
      </c>
      <c r="J360">
        <v>24000</v>
      </c>
      <c r="K360">
        <v>0</v>
      </c>
      <c r="L360">
        <v>390857.13</v>
      </c>
      <c r="M360">
        <v>2507000</v>
      </c>
      <c r="N360">
        <v>58823.53</v>
      </c>
      <c r="O360">
        <v>2033319.34</v>
      </c>
      <c r="P360">
        <v>576482</v>
      </c>
      <c r="Q360">
        <v>1456837.34</v>
      </c>
      <c r="R360">
        <v>0</v>
      </c>
      <c r="S360">
        <v>34</v>
      </c>
      <c r="T360">
        <v>0</v>
      </c>
      <c r="U360">
        <v>0</v>
      </c>
      <c r="V360" s="9">
        <v>46189.853409826392</v>
      </c>
    </row>
    <row r="361" spans="1:22" x14ac:dyDescent="0.2">
      <c r="A361" s="8">
        <v>46169</v>
      </c>
      <c r="B361">
        <v>34</v>
      </c>
      <c r="C361">
        <v>2.2000000000000002</v>
      </c>
      <c r="D361">
        <v>152125.58499999999</v>
      </c>
      <c r="E361">
        <v>0</v>
      </c>
      <c r="F361">
        <v>5172269.92</v>
      </c>
      <c r="G361">
        <v>0</v>
      </c>
      <c r="H361">
        <v>0</v>
      </c>
      <c r="I361">
        <v>5172269.92</v>
      </c>
      <c r="J361">
        <v>92000</v>
      </c>
      <c r="K361">
        <v>0</v>
      </c>
      <c r="L361">
        <v>982731.08</v>
      </c>
      <c r="M361">
        <v>6247001</v>
      </c>
      <c r="N361">
        <v>75631.25</v>
      </c>
      <c r="O361">
        <v>5096638.67</v>
      </c>
      <c r="P361">
        <v>1654871</v>
      </c>
      <c r="Q361">
        <v>3441767.67</v>
      </c>
      <c r="R361">
        <v>0</v>
      </c>
      <c r="S361">
        <v>76</v>
      </c>
      <c r="T361">
        <v>0</v>
      </c>
      <c r="U361">
        <v>0</v>
      </c>
      <c r="V361" s="9">
        <v>46189.853409826392</v>
      </c>
    </row>
    <row r="362" spans="1:22" x14ac:dyDescent="0.2">
      <c r="A362" s="8">
        <v>46170</v>
      </c>
      <c r="B362">
        <v>28</v>
      </c>
      <c r="C362">
        <v>3.9</v>
      </c>
      <c r="D362">
        <v>262950.179</v>
      </c>
      <c r="E362">
        <v>-29</v>
      </c>
      <c r="F362">
        <v>7781512.5199999996</v>
      </c>
      <c r="G362">
        <v>-255041.95</v>
      </c>
      <c r="H362">
        <v>-2275210.08</v>
      </c>
      <c r="I362">
        <v>5251260.49</v>
      </c>
      <c r="J362">
        <v>28000</v>
      </c>
      <c r="K362">
        <v>0</v>
      </c>
      <c r="L362">
        <v>997739.51</v>
      </c>
      <c r="M362">
        <v>6277000</v>
      </c>
      <c r="N362">
        <v>0</v>
      </c>
      <c r="O362">
        <v>5251260.49</v>
      </c>
      <c r="P362">
        <v>2161801</v>
      </c>
      <c r="Q362">
        <v>3089459.49</v>
      </c>
      <c r="R362">
        <v>0</v>
      </c>
      <c r="S362">
        <v>81</v>
      </c>
      <c r="T362">
        <v>0</v>
      </c>
      <c r="U362">
        <v>0</v>
      </c>
      <c r="V362" s="9">
        <v>46189.853409826392</v>
      </c>
    </row>
    <row r="363" spans="1:22" x14ac:dyDescent="0.2">
      <c r="A363" s="8">
        <v>46171</v>
      </c>
      <c r="B363">
        <v>29</v>
      </c>
      <c r="C363">
        <v>1.8</v>
      </c>
      <c r="D363">
        <v>80991.017000000007</v>
      </c>
      <c r="E363">
        <v>0</v>
      </c>
      <c r="F363">
        <v>2348739.5</v>
      </c>
      <c r="G363">
        <v>0</v>
      </c>
      <c r="H363">
        <v>0</v>
      </c>
      <c r="I363">
        <v>2348739.5</v>
      </c>
      <c r="J363">
        <v>40000</v>
      </c>
      <c r="K363">
        <v>0</v>
      </c>
      <c r="L363">
        <v>427260.5</v>
      </c>
      <c r="M363">
        <v>2816000</v>
      </c>
      <c r="N363">
        <v>0</v>
      </c>
      <c r="O363">
        <v>2348739.5</v>
      </c>
      <c r="P363">
        <v>712672</v>
      </c>
      <c r="Q363">
        <v>1636067.5</v>
      </c>
      <c r="R363">
        <v>0</v>
      </c>
      <c r="S363">
        <v>51</v>
      </c>
      <c r="T363">
        <v>0</v>
      </c>
      <c r="U363">
        <v>0</v>
      </c>
      <c r="V363" s="9">
        <v>46189.853409826392</v>
      </c>
    </row>
    <row r="364" spans="1:22" x14ac:dyDescent="0.2">
      <c r="A364" s="8">
        <v>46172</v>
      </c>
      <c r="B364">
        <v>25</v>
      </c>
      <c r="C364">
        <v>2.2000000000000002</v>
      </c>
      <c r="D364">
        <v>106453.781</v>
      </c>
      <c r="E364">
        <v>0</v>
      </c>
      <c r="F364">
        <v>2661344.5299999998</v>
      </c>
      <c r="G364">
        <v>0</v>
      </c>
      <c r="H364">
        <v>0</v>
      </c>
      <c r="I364">
        <v>2661344.5299999998</v>
      </c>
      <c r="J364">
        <v>24000</v>
      </c>
      <c r="K364">
        <v>0</v>
      </c>
      <c r="L364">
        <v>505655.47</v>
      </c>
      <c r="M364">
        <v>3191000</v>
      </c>
      <c r="N364">
        <v>0</v>
      </c>
      <c r="O364">
        <v>2661344.5299999998</v>
      </c>
      <c r="P364">
        <v>758939</v>
      </c>
      <c r="Q364">
        <v>1902405.53</v>
      </c>
      <c r="R364">
        <v>0</v>
      </c>
      <c r="S364">
        <v>56</v>
      </c>
      <c r="T364">
        <v>0</v>
      </c>
      <c r="U364">
        <v>0</v>
      </c>
      <c r="V364" s="9">
        <v>46189.853409826392</v>
      </c>
    </row>
    <row r="365" spans="1:22" x14ac:dyDescent="0.2">
      <c r="A365" s="8">
        <v>46173</v>
      </c>
      <c r="B365">
        <v>3</v>
      </c>
      <c r="C365">
        <v>1.3</v>
      </c>
      <c r="D365">
        <v>141456.58300000001</v>
      </c>
      <c r="E365">
        <v>0</v>
      </c>
      <c r="F365">
        <v>424369.75</v>
      </c>
      <c r="G365">
        <v>0</v>
      </c>
      <c r="H365">
        <v>0</v>
      </c>
      <c r="I365">
        <v>424369.75</v>
      </c>
      <c r="J365">
        <v>40000</v>
      </c>
      <c r="K365">
        <v>0</v>
      </c>
      <c r="L365">
        <v>80630.25</v>
      </c>
      <c r="M365">
        <v>545000</v>
      </c>
      <c r="N365">
        <v>0</v>
      </c>
      <c r="O365">
        <v>424369.75</v>
      </c>
      <c r="P365">
        <v>129467</v>
      </c>
      <c r="Q365">
        <v>294902.75</v>
      </c>
      <c r="R365">
        <v>0</v>
      </c>
      <c r="S365">
        <v>4</v>
      </c>
      <c r="T365">
        <v>0</v>
      </c>
      <c r="U365">
        <v>0</v>
      </c>
      <c r="V365" s="9">
        <v>46189.853409826392</v>
      </c>
    </row>
    <row r="366" spans="1:22" x14ac:dyDescent="0.2">
      <c r="A366" s="8">
        <v>46174</v>
      </c>
      <c r="B366">
        <v>30</v>
      </c>
      <c r="C366">
        <v>2.7</v>
      </c>
      <c r="D366">
        <v>212480.39199999999</v>
      </c>
      <c r="E366">
        <v>-1</v>
      </c>
      <c r="F366">
        <v>6594579.7999999998</v>
      </c>
      <c r="G366">
        <v>-220168.04</v>
      </c>
      <c r="H366">
        <v>-84033.61</v>
      </c>
      <c r="I366">
        <v>6290378.1500000004</v>
      </c>
      <c r="J366">
        <v>36000</v>
      </c>
      <c r="K366">
        <v>0</v>
      </c>
      <c r="L366">
        <v>1120121.8500000001</v>
      </c>
      <c r="M366">
        <v>7446500</v>
      </c>
      <c r="N366">
        <v>0</v>
      </c>
      <c r="O366">
        <v>6290378.1500000004</v>
      </c>
      <c r="P366">
        <v>2293636</v>
      </c>
      <c r="Q366">
        <v>3996742.15</v>
      </c>
      <c r="R366">
        <v>0</v>
      </c>
      <c r="S366">
        <v>79</v>
      </c>
      <c r="T366">
        <v>0</v>
      </c>
      <c r="U366">
        <v>0</v>
      </c>
      <c r="V366" s="9">
        <v>46189.853409826392</v>
      </c>
    </row>
    <row r="367" spans="1:22" x14ac:dyDescent="0.2">
      <c r="A367" s="8">
        <v>45809</v>
      </c>
      <c r="B367">
        <v>10</v>
      </c>
      <c r="C367">
        <v>2.1</v>
      </c>
      <c r="D367">
        <v>118487.39599999999</v>
      </c>
      <c r="E367">
        <v>0</v>
      </c>
      <c r="F367">
        <v>1184873.96</v>
      </c>
      <c r="G367">
        <v>0</v>
      </c>
      <c r="H367">
        <v>0</v>
      </c>
      <c r="I367">
        <v>1184873.96</v>
      </c>
      <c r="J367">
        <v>85000</v>
      </c>
      <c r="K367">
        <v>0</v>
      </c>
      <c r="L367">
        <v>225126.04</v>
      </c>
      <c r="M367">
        <v>1495000</v>
      </c>
      <c r="N367">
        <v>0</v>
      </c>
      <c r="O367">
        <v>1184873.96</v>
      </c>
      <c r="P367">
        <v>321197</v>
      </c>
      <c r="Q367">
        <v>863676.96</v>
      </c>
      <c r="R367">
        <v>0</v>
      </c>
      <c r="S367">
        <v>21</v>
      </c>
      <c r="T367">
        <v>0</v>
      </c>
      <c r="U367">
        <v>0</v>
      </c>
      <c r="V367" s="9">
        <v>46189.853409826392</v>
      </c>
    </row>
    <row r="368" spans="1:22" x14ac:dyDescent="0.2">
      <c r="A368" s="8">
        <v>45810</v>
      </c>
      <c r="B368">
        <v>7</v>
      </c>
      <c r="C368">
        <v>1.7</v>
      </c>
      <c r="D368">
        <v>123649.461</v>
      </c>
      <c r="E368">
        <v>0</v>
      </c>
      <c r="F368">
        <v>865546.23</v>
      </c>
      <c r="G368">
        <v>0</v>
      </c>
      <c r="H368">
        <v>0</v>
      </c>
      <c r="I368">
        <v>865546.23</v>
      </c>
      <c r="J368">
        <v>59500</v>
      </c>
      <c r="K368">
        <v>0</v>
      </c>
      <c r="L368">
        <v>164453.76999999999</v>
      </c>
      <c r="M368">
        <v>1089500</v>
      </c>
      <c r="N368">
        <v>0</v>
      </c>
      <c r="O368">
        <v>865546.23</v>
      </c>
      <c r="P368">
        <v>191003</v>
      </c>
      <c r="Q368">
        <v>674543.23</v>
      </c>
      <c r="R368">
        <v>0</v>
      </c>
      <c r="S368">
        <v>12</v>
      </c>
      <c r="T368">
        <v>0</v>
      </c>
      <c r="U368">
        <v>0</v>
      </c>
      <c r="V368" s="9">
        <v>46189.853409826392</v>
      </c>
    </row>
    <row r="369" spans="1:22" x14ac:dyDescent="0.2">
      <c r="A369" s="8">
        <v>45811</v>
      </c>
      <c r="B369">
        <v>13</v>
      </c>
      <c r="C369">
        <v>1.5</v>
      </c>
      <c r="D369">
        <v>104525.016</v>
      </c>
      <c r="E369">
        <v>0</v>
      </c>
      <c r="F369">
        <v>1428825.21</v>
      </c>
      <c r="G369">
        <v>-70000</v>
      </c>
      <c r="H369">
        <v>0</v>
      </c>
      <c r="I369">
        <v>1358825.21</v>
      </c>
      <c r="J369">
        <v>122500</v>
      </c>
      <c r="K369">
        <v>0</v>
      </c>
      <c r="L369">
        <v>258176.79</v>
      </c>
      <c r="M369">
        <v>1739502</v>
      </c>
      <c r="N369">
        <v>0.84</v>
      </c>
      <c r="O369">
        <v>1358824.37</v>
      </c>
      <c r="P369">
        <v>333271</v>
      </c>
      <c r="Q369">
        <v>1025553.37</v>
      </c>
      <c r="R369">
        <v>0</v>
      </c>
      <c r="S369">
        <v>19</v>
      </c>
      <c r="T369">
        <v>0</v>
      </c>
      <c r="U369">
        <v>0</v>
      </c>
      <c r="V369" s="9">
        <v>46189.853409826392</v>
      </c>
    </row>
    <row r="370" spans="1:22" x14ac:dyDescent="0.2">
      <c r="A370" s="8">
        <v>45812</v>
      </c>
      <c r="B370">
        <v>16</v>
      </c>
      <c r="C370">
        <v>19.2</v>
      </c>
      <c r="D370">
        <v>321701.68099999998</v>
      </c>
      <c r="E370">
        <v>-3</v>
      </c>
      <c r="F370">
        <v>5428739.5099999998</v>
      </c>
      <c r="G370">
        <v>-58823.53</v>
      </c>
      <c r="H370">
        <v>-200000</v>
      </c>
      <c r="I370">
        <v>5169915.9800000004</v>
      </c>
      <c r="J370">
        <v>115000</v>
      </c>
      <c r="K370">
        <v>0</v>
      </c>
      <c r="L370">
        <v>982284.02</v>
      </c>
      <c r="M370">
        <v>6267200</v>
      </c>
      <c r="N370">
        <v>0</v>
      </c>
      <c r="O370">
        <v>5169915.9800000004</v>
      </c>
      <c r="P370">
        <v>2071273</v>
      </c>
      <c r="Q370">
        <v>3098642.98</v>
      </c>
      <c r="R370">
        <v>0</v>
      </c>
      <c r="S370">
        <v>307</v>
      </c>
      <c r="T370">
        <v>0</v>
      </c>
      <c r="U370">
        <v>0</v>
      </c>
      <c r="V370" s="9">
        <v>46189.853409826392</v>
      </c>
    </row>
    <row r="371" spans="1:22" x14ac:dyDescent="0.2">
      <c r="A371" s="8">
        <v>45813</v>
      </c>
      <c r="B371">
        <v>15</v>
      </c>
      <c r="C371">
        <v>1.8</v>
      </c>
      <c r="D371">
        <v>135630.25200000001</v>
      </c>
      <c r="E371">
        <v>0</v>
      </c>
      <c r="F371">
        <v>2034453.78</v>
      </c>
      <c r="G371">
        <v>0</v>
      </c>
      <c r="H371">
        <v>0</v>
      </c>
      <c r="I371">
        <v>2034453.78</v>
      </c>
      <c r="J371">
        <v>109500</v>
      </c>
      <c r="K371">
        <v>0</v>
      </c>
      <c r="L371">
        <v>386546.22</v>
      </c>
      <c r="M371">
        <v>2530500</v>
      </c>
      <c r="N371">
        <v>0</v>
      </c>
      <c r="O371">
        <v>2034453.78</v>
      </c>
      <c r="P371">
        <v>581398</v>
      </c>
      <c r="Q371">
        <v>1453055.78</v>
      </c>
      <c r="R371">
        <v>0</v>
      </c>
      <c r="S371">
        <v>27</v>
      </c>
      <c r="T371">
        <v>0</v>
      </c>
      <c r="U371">
        <v>0</v>
      </c>
      <c r="V371" s="9">
        <v>46189.853409826392</v>
      </c>
    </row>
    <row r="372" spans="1:22" x14ac:dyDescent="0.2">
      <c r="A372" s="8">
        <v>45814</v>
      </c>
      <c r="B372">
        <v>12</v>
      </c>
      <c r="C372">
        <v>1.8</v>
      </c>
      <c r="D372">
        <v>133823.53</v>
      </c>
      <c r="E372">
        <v>0</v>
      </c>
      <c r="F372">
        <v>1610084.04</v>
      </c>
      <c r="G372">
        <v>-4201.68</v>
      </c>
      <c r="H372">
        <v>0</v>
      </c>
      <c r="I372">
        <v>1605882.36</v>
      </c>
      <c r="J372">
        <v>74000</v>
      </c>
      <c r="K372">
        <v>0</v>
      </c>
      <c r="L372">
        <v>305117.64</v>
      </c>
      <c r="M372">
        <v>1985000</v>
      </c>
      <c r="N372">
        <v>0</v>
      </c>
      <c r="O372">
        <v>1605882.36</v>
      </c>
      <c r="P372">
        <v>459047</v>
      </c>
      <c r="Q372">
        <v>1146835.3600000001</v>
      </c>
      <c r="R372">
        <v>0</v>
      </c>
      <c r="S372">
        <v>21</v>
      </c>
      <c r="T372">
        <v>0</v>
      </c>
      <c r="U372">
        <v>0</v>
      </c>
      <c r="V372" s="9">
        <v>46189.853409826392</v>
      </c>
    </row>
    <row r="373" spans="1:22" x14ac:dyDescent="0.2">
      <c r="A373" s="8">
        <v>45815</v>
      </c>
      <c r="B373">
        <v>7</v>
      </c>
      <c r="C373">
        <v>2.6</v>
      </c>
      <c r="D373">
        <v>172148.86199999999</v>
      </c>
      <c r="E373">
        <v>0</v>
      </c>
      <c r="F373">
        <v>1230252.1200000001</v>
      </c>
      <c r="G373">
        <v>-25210.080000000002</v>
      </c>
      <c r="H373">
        <v>0</v>
      </c>
      <c r="I373">
        <v>1205042.04</v>
      </c>
      <c r="J373">
        <v>14500</v>
      </c>
      <c r="K373">
        <v>0</v>
      </c>
      <c r="L373">
        <v>228957.96</v>
      </c>
      <c r="M373">
        <v>1448500</v>
      </c>
      <c r="N373">
        <v>151260.5</v>
      </c>
      <c r="O373">
        <v>1053781.54</v>
      </c>
      <c r="P373">
        <v>281437</v>
      </c>
      <c r="Q373">
        <v>772344.54</v>
      </c>
      <c r="R373">
        <v>0</v>
      </c>
      <c r="S373">
        <v>18</v>
      </c>
      <c r="T373">
        <v>0</v>
      </c>
      <c r="U373">
        <v>0</v>
      </c>
      <c r="V373" s="9">
        <v>46189.853409826392</v>
      </c>
    </row>
    <row r="374" spans="1:22" x14ac:dyDescent="0.2">
      <c r="A374" s="8">
        <v>45816</v>
      </c>
      <c r="B374">
        <v>25</v>
      </c>
      <c r="C374">
        <v>1.9</v>
      </c>
      <c r="D374">
        <v>110890.75599999999</v>
      </c>
      <c r="E374">
        <v>0</v>
      </c>
      <c r="F374">
        <v>2772268.92</v>
      </c>
      <c r="G374">
        <v>0</v>
      </c>
      <c r="H374">
        <v>0</v>
      </c>
      <c r="I374">
        <v>2772268.92</v>
      </c>
      <c r="J374">
        <v>41500</v>
      </c>
      <c r="K374">
        <v>0</v>
      </c>
      <c r="L374">
        <v>526731.07999999996</v>
      </c>
      <c r="M374">
        <v>3340500</v>
      </c>
      <c r="N374">
        <v>58823.53</v>
      </c>
      <c r="O374">
        <v>2713445.39</v>
      </c>
      <c r="P374">
        <v>784552</v>
      </c>
      <c r="Q374">
        <v>1928893.39</v>
      </c>
      <c r="R374">
        <v>0</v>
      </c>
      <c r="S374">
        <v>48</v>
      </c>
      <c r="T374">
        <v>0</v>
      </c>
      <c r="U374">
        <v>0</v>
      </c>
      <c r="V374" s="9">
        <v>46189.853409826392</v>
      </c>
    </row>
    <row r="375" spans="1:22" x14ac:dyDescent="0.2">
      <c r="A375" s="8">
        <v>45817</v>
      </c>
      <c r="B375">
        <v>15</v>
      </c>
      <c r="C375">
        <v>1.7</v>
      </c>
      <c r="D375">
        <v>108739.55100000001</v>
      </c>
      <c r="E375">
        <v>-2</v>
      </c>
      <c r="F375">
        <v>1765547.02</v>
      </c>
      <c r="G375">
        <v>-134453.75</v>
      </c>
      <c r="H375">
        <v>-117647.06</v>
      </c>
      <c r="I375">
        <v>1513446.21</v>
      </c>
      <c r="J375">
        <v>77500</v>
      </c>
      <c r="K375">
        <v>0</v>
      </c>
      <c r="L375">
        <v>287554.78999999998</v>
      </c>
      <c r="M375">
        <v>1878501</v>
      </c>
      <c r="N375">
        <v>0.84</v>
      </c>
      <c r="O375">
        <v>1513445.37</v>
      </c>
      <c r="P375">
        <v>434875</v>
      </c>
      <c r="Q375">
        <v>1078570.3700000001</v>
      </c>
      <c r="R375">
        <v>0</v>
      </c>
      <c r="S375">
        <v>24</v>
      </c>
      <c r="T375">
        <v>0</v>
      </c>
      <c r="U375">
        <v>0</v>
      </c>
      <c r="V375" s="9">
        <v>46189.853409826392</v>
      </c>
    </row>
    <row r="376" spans="1:22" x14ac:dyDescent="0.2">
      <c r="A376" s="8">
        <v>45818</v>
      </c>
      <c r="B376">
        <v>13</v>
      </c>
      <c r="C376">
        <v>10.199999999999999</v>
      </c>
      <c r="D376">
        <v>203910.861</v>
      </c>
      <c r="E376">
        <v>0</v>
      </c>
      <c r="F376">
        <v>2660505.06</v>
      </c>
      <c r="G376">
        <v>-9663.86</v>
      </c>
      <c r="H376">
        <v>0</v>
      </c>
      <c r="I376">
        <v>2650841.2000000002</v>
      </c>
      <c r="J376">
        <v>54000</v>
      </c>
      <c r="K376">
        <v>0</v>
      </c>
      <c r="L376">
        <v>503659.8</v>
      </c>
      <c r="M376">
        <v>3208501</v>
      </c>
      <c r="N376">
        <v>0.84</v>
      </c>
      <c r="O376">
        <v>2650840.36</v>
      </c>
      <c r="P376">
        <v>946300</v>
      </c>
      <c r="Q376">
        <v>1704540.36</v>
      </c>
      <c r="R376">
        <v>0</v>
      </c>
      <c r="S376">
        <v>132</v>
      </c>
      <c r="T376">
        <v>0</v>
      </c>
      <c r="U376">
        <v>0</v>
      </c>
      <c r="V376" s="9">
        <v>46189.853409826392</v>
      </c>
    </row>
    <row r="377" spans="1:22" x14ac:dyDescent="0.2">
      <c r="A377" s="8">
        <v>45819</v>
      </c>
      <c r="B377">
        <v>6</v>
      </c>
      <c r="C377">
        <v>2.2000000000000002</v>
      </c>
      <c r="D377">
        <v>233753.50099999999</v>
      </c>
      <c r="E377">
        <v>-1</v>
      </c>
      <c r="F377">
        <v>1499159.67</v>
      </c>
      <c r="G377">
        <v>0</v>
      </c>
      <c r="H377">
        <v>-96638.66</v>
      </c>
      <c r="I377">
        <v>1402521.01</v>
      </c>
      <c r="J377">
        <v>30000</v>
      </c>
      <c r="K377">
        <v>0</v>
      </c>
      <c r="L377">
        <v>266478.99</v>
      </c>
      <c r="M377">
        <v>1699000</v>
      </c>
      <c r="N377">
        <v>420168.07</v>
      </c>
      <c r="O377">
        <v>982352.94</v>
      </c>
      <c r="P377">
        <v>238451</v>
      </c>
      <c r="Q377">
        <v>743901.94</v>
      </c>
      <c r="R377">
        <v>0</v>
      </c>
      <c r="S377">
        <v>13</v>
      </c>
      <c r="T377">
        <v>0</v>
      </c>
      <c r="U377">
        <v>0</v>
      </c>
      <c r="V377" s="9">
        <v>46189.853409826392</v>
      </c>
    </row>
    <row r="378" spans="1:22" x14ac:dyDescent="0.2">
      <c r="A378" s="8">
        <v>45820</v>
      </c>
      <c r="B378">
        <v>8</v>
      </c>
      <c r="C378">
        <v>2.4</v>
      </c>
      <c r="D378">
        <v>207878.15100000001</v>
      </c>
      <c r="E378">
        <v>0</v>
      </c>
      <c r="F378">
        <v>1753781.51</v>
      </c>
      <c r="G378">
        <v>-90756.3</v>
      </c>
      <c r="H378">
        <v>0</v>
      </c>
      <c r="I378">
        <v>1663025.21</v>
      </c>
      <c r="J378">
        <v>36000</v>
      </c>
      <c r="K378">
        <v>0</v>
      </c>
      <c r="L378">
        <v>315974.78999999998</v>
      </c>
      <c r="M378">
        <v>2015000</v>
      </c>
      <c r="N378">
        <v>0</v>
      </c>
      <c r="O378">
        <v>1663025.21</v>
      </c>
      <c r="P378">
        <v>464016</v>
      </c>
      <c r="Q378">
        <v>1199009.21</v>
      </c>
      <c r="R378">
        <v>0</v>
      </c>
      <c r="S378">
        <v>19</v>
      </c>
      <c r="T378">
        <v>0</v>
      </c>
      <c r="U378">
        <v>0</v>
      </c>
      <c r="V378" s="9">
        <v>46189.853409826392</v>
      </c>
    </row>
    <row r="379" spans="1:22" x14ac:dyDescent="0.2">
      <c r="A379" s="8">
        <v>45821</v>
      </c>
      <c r="B379">
        <v>7</v>
      </c>
      <c r="C379">
        <v>1.4</v>
      </c>
      <c r="D379">
        <v>96278.510999999999</v>
      </c>
      <c r="E379">
        <v>0</v>
      </c>
      <c r="F379">
        <v>673949.58</v>
      </c>
      <c r="G379">
        <v>0</v>
      </c>
      <c r="H379">
        <v>0</v>
      </c>
      <c r="I379">
        <v>673949.58</v>
      </c>
      <c r="J379">
        <v>27000</v>
      </c>
      <c r="K379">
        <v>0</v>
      </c>
      <c r="L379">
        <v>128050.42</v>
      </c>
      <c r="M379">
        <v>829000</v>
      </c>
      <c r="N379">
        <v>0</v>
      </c>
      <c r="O379">
        <v>673949.58</v>
      </c>
      <c r="P379">
        <v>163184</v>
      </c>
      <c r="Q379">
        <v>510765.58</v>
      </c>
      <c r="R379">
        <v>0</v>
      </c>
      <c r="S379">
        <v>10</v>
      </c>
      <c r="T379">
        <v>0</v>
      </c>
      <c r="U379">
        <v>0</v>
      </c>
      <c r="V379" s="9">
        <v>46189.853409826392</v>
      </c>
    </row>
    <row r="380" spans="1:22" x14ac:dyDescent="0.2">
      <c r="A380" s="8">
        <v>45822</v>
      </c>
      <c r="B380" s="7">
        <v>9</v>
      </c>
      <c r="C380" s="7">
        <v>1.7</v>
      </c>
      <c r="D380" s="7">
        <v>118113.913</v>
      </c>
      <c r="E380" s="7">
        <v>0</v>
      </c>
      <c r="F380" s="7">
        <v>1063025.22</v>
      </c>
      <c r="G380" s="7">
        <v>0</v>
      </c>
      <c r="H380" s="7">
        <v>0</v>
      </c>
      <c r="I380" s="7">
        <v>1063025.22</v>
      </c>
      <c r="J380" s="7">
        <v>57000</v>
      </c>
      <c r="K380" s="7">
        <v>0</v>
      </c>
      <c r="L380" s="7">
        <v>201974.78</v>
      </c>
      <c r="M380" s="7">
        <v>1322000</v>
      </c>
      <c r="N380" s="7">
        <v>105882.35</v>
      </c>
      <c r="O380" s="7">
        <v>957142.87</v>
      </c>
      <c r="P380" s="7">
        <v>270677</v>
      </c>
      <c r="Q380" s="7">
        <v>686465.87</v>
      </c>
      <c r="R380" s="7">
        <v>0</v>
      </c>
      <c r="S380" s="7">
        <v>15</v>
      </c>
      <c r="T380" s="7">
        <v>0</v>
      </c>
      <c r="U380" s="7">
        <v>0</v>
      </c>
      <c r="V380" s="9">
        <v>46189.853409826392</v>
      </c>
    </row>
    <row r="381" spans="1:22" x14ac:dyDescent="0.2">
      <c r="A381" s="8">
        <v>45823</v>
      </c>
      <c r="B381" s="7">
        <v>7</v>
      </c>
      <c r="C381" s="7">
        <v>1.7</v>
      </c>
      <c r="D381" s="7">
        <v>109843.935</v>
      </c>
      <c r="E381" s="7">
        <v>0</v>
      </c>
      <c r="F381" s="7">
        <v>768907.55</v>
      </c>
      <c r="G381" s="7">
        <v>0</v>
      </c>
      <c r="H381" s="7">
        <v>0</v>
      </c>
      <c r="I381" s="7">
        <v>768907.55</v>
      </c>
      <c r="J381" s="7">
        <v>89500</v>
      </c>
      <c r="K381" s="7">
        <v>0</v>
      </c>
      <c r="L381" s="7">
        <v>146092.45000000001</v>
      </c>
      <c r="M381" s="7">
        <v>1004500</v>
      </c>
      <c r="N381" s="7">
        <v>0</v>
      </c>
      <c r="O381" s="7">
        <v>768907.55</v>
      </c>
      <c r="P381" s="7">
        <v>201976</v>
      </c>
      <c r="Q381" s="7">
        <v>566931.55000000005</v>
      </c>
      <c r="R381" s="7">
        <v>0</v>
      </c>
      <c r="S381" s="7">
        <v>12</v>
      </c>
      <c r="T381" s="7">
        <v>0</v>
      </c>
      <c r="U381" s="7">
        <v>0</v>
      </c>
      <c r="V381" s="9">
        <v>46189.853409826392</v>
      </c>
    </row>
    <row r="382" spans="1:22" x14ac:dyDescent="0.2">
      <c r="A382" s="8">
        <v>45824</v>
      </c>
      <c r="B382" s="7">
        <v>13</v>
      </c>
      <c r="C382" s="7">
        <v>2.4</v>
      </c>
      <c r="D382" s="7">
        <v>180164.83600000001</v>
      </c>
      <c r="E382" s="7">
        <v>0</v>
      </c>
      <c r="F382" s="7">
        <v>2342142.87</v>
      </c>
      <c r="G382" s="7">
        <v>0</v>
      </c>
      <c r="H382" s="7">
        <v>0</v>
      </c>
      <c r="I382" s="7">
        <v>2342142.87</v>
      </c>
      <c r="J382" s="7">
        <v>280000</v>
      </c>
      <c r="K382" s="7">
        <v>0</v>
      </c>
      <c r="L382" s="7">
        <v>352857.13</v>
      </c>
      <c r="M382" s="7">
        <v>2975000</v>
      </c>
      <c r="N382" s="7">
        <v>226890.76</v>
      </c>
      <c r="O382" s="7">
        <v>2115252.11</v>
      </c>
      <c r="P382" s="7">
        <v>594048</v>
      </c>
      <c r="Q382" s="7">
        <v>1521204.11</v>
      </c>
      <c r="R382" s="7">
        <v>0</v>
      </c>
      <c r="S382" s="7">
        <v>31</v>
      </c>
      <c r="T382" s="7">
        <v>0</v>
      </c>
      <c r="U382" s="7">
        <v>0</v>
      </c>
      <c r="V382" s="9">
        <v>46189.853409826392</v>
      </c>
    </row>
    <row r="383" spans="1:22" x14ac:dyDescent="0.2">
      <c r="A383" s="8">
        <v>45825</v>
      </c>
      <c r="B383" s="7">
        <v>13</v>
      </c>
      <c r="C383" s="7">
        <v>1.5</v>
      </c>
      <c r="D383" s="7">
        <v>95410.535999999993</v>
      </c>
      <c r="E383" s="7">
        <v>-7</v>
      </c>
      <c r="F383" s="7">
        <v>1240336.97</v>
      </c>
      <c r="G383" s="7">
        <v>0</v>
      </c>
      <c r="H383" s="7">
        <v>-331932.77</v>
      </c>
      <c r="I383" s="7">
        <v>908404.2</v>
      </c>
      <c r="J383" s="7">
        <v>80500</v>
      </c>
      <c r="K383" s="7">
        <v>0</v>
      </c>
      <c r="L383" s="7">
        <v>172596.8</v>
      </c>
      <c r="M383" s="7">
        <v>1161501</v>
      </c>
      <c r="N383" s="7">
        <v>42017.64</v>
      </c>
      <c r="O383" s="7">
        <v>866386.56</v>
      </c>
      <c r="P383" s="7">
        <v>218579</v>
      </c>
      <c r="Q383" s="7">
        <v>647807.56000000006</v>
      </c>
      <c r="R383" s="7">
        <v>0</v>
      </c>
      <c r="S383" s="7">
        <v>12</v>
      </c>
      <c r="T383" s="7">
        <v>0</v>
      </c>
      <c r="U383" s="7">
        <v>0</v>
      </c>
      <c r="V383" s="9">
        <v>46189.853409826392</v>
      </c>
    </row>
    <row r="384" spans="1:22" x14ac:dyDescent="0.2">
      <c r="A384" s="8">
        <v>45826</v>
      </c>
      <c r="B384" s="7">
        <v>20</v>
      </c>
      <c r="C384" s="7">
        <v>1.5</v>
      </c>
      <c r="D384" s="7">
        <v>86344.538</v>
      </c>
      <c r="E384" s="7">
        <v>-1</v>
      </c>
      <c r="F384" s="7">
        <v>1785714.3</v>
      </c>
      <c r="G384" s="7">
        <v>0</v>
      </c>
      <c r="H384" s="7">
        <v>-58823.53</v>
      </c>
      <c r="I384" s="7">
        <v>1726890.77</v>
      </c>
      <c r="J384" s="7">
        <v>101500</v>
      </c>
      <c r="K384" s="7">
        <v>0</v>
      </c>
      <c r="L384" s="7">
        <v>328109.23</v>
      </c>
      <c r="M384" s="7">
        <v>2156500</v>
      </c>
      <c r="N384" s="7">
        <v>0</v>
      </c>
      <c r="O384" s="7">
        <v>1726890.77</v>
      </c>
      <c r="P384" s="7">
        <v>500967</v>
      </c>
      <c r="Q384" s="7">
        <v>1225923.77</v>
      </c>
      <c r="R384" s="7">
        <v>0</v>
      </c>
      <c r="S384" s="7">
        <v>30</v>
      </c>
      <c r="T384" s="7">
        <v>0</v>
      </c>
      <c r="U384" s="7">
        <v>0</v>
      </c>
      <c r="V384" s="9">
        <v>46189.853409826392</v>
      </c>
    </row>
    <row r="385" spans="1:22" x14ac:dyDescent="0.2">
      <c r="A385" s="8">
        <v>45827</v>
      </c>
      <c r="B385" s="7">
        <v>34</v>
      </c>
      <c r="C385" s="7">
        <v>2</v>
      </c>
      <c r="D385" s="7">
        <v>104448.83900000001</v>
      </c>
      <c r="E385" s="7">
        <v>0</v>
      </c>
      <c r="F385" s="7">
        <v>3748739.51</v>
      </c>
      <c r="G385" s="7">
        <v>-197478.98</v>
      </c>
      <c r="H385" s="7">
        <v>0</v>
      </c>
      <c r="I385" s="7">
        <v>3551260.53</v>
      </c>
      <c r="J385" s="7">
        <v>68000</v>
      </c>
      <c r="K385" s="7">
        <v>0</v>
      </c>
      <c r="L385" s="7">
        <v>674739.47</v>
      </c>
      <c r="M385" s="7">
        <v>4294000</v>
      </c>
      <c r="N385" s="7">
        <v>100840.33</v>
      </c>
      <c r="O385" s="7">
        <v>3450420.2</v>
      </c>
      <c r="P385" s="7">
        <v>1128772</v>
      </c>
      <c r="Q385" s="7">
        <v>2321648.2000000002</v>
      </c>
      <c r="R385" s="7">
        <v>0</v>
      </c>
      <c r="S385" s="7">
        <v>68</v>
      </c>
      <c r="T385" s="7">
        <v>0</v>
      </c>
      <c r="U385" s="7">
        <v>0</v>
      </c>
      <c r="V385" s="9">
        <v>46189.853409826392</v>
      </c>
    </row>
    <row r="386" spans="1:22" x14ac:dyDescent="0.2">
      <c r="A386" s="8">
        <v>45828</v>
      </c>
      <c r="B386" s="7">
        <v>27</v>
      </c>
      <c r="C386" s="7">
        <v>2</v>
      </c>
      <c r="D386" s="7">
        <v>102645.503</v>
      </c>
      <c r="E386" s="7">
        <v>0</v>
      </c>
      <c r="F386" s="7">
        <v>2821848.75</v>
      </c>
      <c r="G386" s="7">
        <v>-50420.160000000003</v>
      </c>
      <c r="H386" s="7">
        <v>0</v>
      </c>
      <c r="I386" s="7">
        <v>2771428.59</v>
      </c>
      <c r="J386" s="7">
        <v>62500</v>
      </c>
      <c r="K386" s="7">
        <v>0</v>
      </c>
      <c r="L386" s="7">
        <v>526571.41</v>
      </c>
      <c r="M386" s="7">
        <v>3360500</v>
      </c>
      <c r="N386" s="7">
        <v>0</v>
      </c>
      <c r="O386" s="7">
        <v>2771428.59</v>
      </c>
      <c r="P386" s="7">
        <v>724933.12</v>
      </c>
      <c r="Q386" s="7">
        <v>2046495.47</v>
      </c>
      <c r="R386" s="7">
        <v>0</v>
      </c>
      <c r="S386" s="7">
        <v>53</v>
      </c>
      <c r="T386" s="7">
        <v>0</v>
      </c>
      <c r="U386" s="7">
        <v>0</v>
      </c>
      <c r="V386" s="9">
        <v>46189.853409826392</v>
      </c>
    </row>
    <row r="387" spans="1:22" x14ac:dyDescent="0.2">
      <c r="A387" s="8">
        <v>45829</v>
      </c>
      <c r="B387" s="7">
        <v>36</v>
      </c>
      <c r="C387" s="7">
        <v>1.7</v>
      </c>
      <c r="D387" s="7">
        <v>83636.788</v>
      </c>
      <c r="E387" s="7">
        <v>0</v>
      </c>
      <c r="F387" s="7">
        <v>3010924.37</v>
      </c>
      <c r="G387" s="7">
        <v>0</v>
      </c>
      <c r="H387" s="7">
        <v>0</v>
      </c>
      <c r="I387" s="7">
        <v>3010924.37</v>
      </c>
      <c r="J387" s="7">
        <v>36000</v>
      </c>
      <c r="K387" s="7">
        <v>0</v>
      </c>
      <c r="L387" s="7">
        <v>572075.63</v>
      </c>
      <c r="M387" s="7">
        <v>3619000</v>
      </c>
      <c r="N387" s="7">
        <v>0</v>
      </c>
      <c r="O387" s="7">
        <v>3010924.37</v>
      </c>
      <c r="P387" s="7">
        <v>757275</v>
      </c>
      <c r="Q387" s="7">
        <v>2253649.37</v>
      </c>
      <c r="R387" s="7">
        <v>0</v>
      </c>
      <c r="S387" s="7">
        <v>61</v>
      </c>
      <c r="T387" s="7">
        <v>0</v>
      </c>
      <c r="U387" s="7">
        <v>0</v>
      </c>
      <c r="V387" s="9">
        <v>46189.853409826392</v>
      </c>
    </row>
    <row r="388" spans="1:22" x14ac:dyDescent="0.2">
      <c r="A388" s="8">
        <v>45830</v>
      </c>
      <c r="B388" s="7">
        <v>27</v>
      </c>
      <c r="C388" s="7">
        <v>1.7</v>
      </c>
      <c r="D388" s="7">
        <v>115610.022</v>
      </c>
      <c r="E388" s="7">
        <v>-4</v>
      </c>
      <c r="F388" s="7">
        <v>3191470.61</v>
      </c>
      <c r="G388" s="7">
        <v>-70000</v>
      </c>
      <c r="H388" s="7">
        <v>-441176.47</v>
      </c>
      <c r="I388" s="7">
        <v>2680294.14</v>
      </c>
      <c r="J388" s="7">
        <v>54000</v>
      </c>
      <c r="K388" s="7">
        <v>0</v>
      </c>
      <c r="L388" s="7">
        <v>500705.86</v>
      </c>
      <c r="M388" s="7">
        <v>3235000</v>
      </c>
      <c r="N388" s="7">
        <v>0</v>
      </c>
      <c r="O388" s="7">
        <v>2680294.14</v>
      </c>
      <c r="P388" s="7">
        <v>793531</v>
      </c>
      <c r="Q388" s="7">
        <v>1886763.14</v>
      </c>
      <c r="R388" s="7">
        <v>0</v>
      </c>
      <c r="S388" s="7">
        <v>43</v>
      </c>
      <c r="T388" s="7">
        <v>0</v>
      </c>
      <c r="U388" s="7">
        <v>0</v>
      </c>
      <c r="V388" s="9">
        <v>46189.853409826392</v>
      </c>
    </row>
    <row r="389" spans="1:22" x14ac:dyDescent="0.2">
      <c r="A389" s="8">
        <v>45831</v>
      </c>
      <c r="B389" s="7">
        <v>43</v>
      </c>
      <c r="C389" s="7">
        <v>1.5</v>
      </c>
      <c r="D389" s="7">
        <v>90893.101999999999</v>
      </c>
      <c r="E389" s="7">
        <v>0</v>
      </c>
      <c r="F389" s="7">
        <v>3958823.57</v>
      </c>
      <c r="G389" s="7">
        <v>-50420.17</v>
      </c>
      <c r="H389" s="7">
        <v>0</v>
      </c>
      <c r="I389" s="7">
        <v>3908403.4</v>
      </c>
      <c r="J389" s="7">
        <v>38000</v>
      </c>
      <c r="K389" s="7">
        <v>0</v>
      </c>
      <c r="L389" s="7">
        <v>742596.6</v>
      </c>
      <c r="M389" s="7">
        <v>4689000</v>
      </c>
      <c r="N389" s="7">
        <v>0</v>
      </c>
      <c r="O389" s="7">
        <v>3908403.4</v>
      </c>
      <c r="P389" s="7">
        <v>982570</v>
      </c>
      <c r="Q389" s="7">
        <v>2925833.4</v>
      </c>
      <c r="R389" s="7">
        <v>0</v>
      </c>
      <c r="S389" s="7">
        <v>66</v>
      </c>
      <c r="T389" s="7">
        <v>0</v>
      </c>
      <c r="U389" s="7">
        <v>0</v>
      </c>
      <c r="V389" s="9">
        <v>46189.853409826392</v>
      </c>
    </row>
    <row r="390" spans="1:22" x14ac:dyDescent="0.2">
      <c r="A390" s="8">
        <v>45832</v>
      </c>
      <c r="B390" s="7">
        <v>9</v>
      </c>
      <c r="C390" s="7">
        <v>11.7</v>
      </c>
      <c r="D390" s="7">
        <v>934733.89500000002</v>
      </c>
      <c r="E390" s="7">
        <v>0</v>
      </c>
      <c r="F390" s="7">
        <v>9688235.3100000005</v>
      </c>
      <c r="G390" s="7">
        <v>-1300840.33</v>
      </c>
      <c r="H390" s="7">
        <v>0</v>
      </c>
      <c r="I390" s="7">
        <v>8387394.9800000004</v>
      </c>
      <c r="J390" s="7">
        <v>176500</v>
      </c>
      <c r="K390" s="7">
        <v>0</v>
      </c>
      <c r="L390" s="7">
        <v>1593605.02</v>
      </c>
      <c r="M390" s="7">
        <v>10157500</v>
      </c>
      <c r="N390" s="7">
        <v>0</v>
      </c>
      <c r="O390" s="7">
        <v>8387394.9800000004</v>
      </c>
      <c r="P390" s="7">
        <v>4005430</v>
      </c>
      <c r="Q390" s="7">
        <v>4381964.9800000004</v>
      </c>
      <c r="R390" s="7">
        <v>0</v>
      </c>
      <c r="S390" s="7">
        <v>105</v>
      </c>
      <c r="T390" s="7">
        <v>0</v>
      </c>
      <c r="U390" s="7">
        <v>0</v>
      </c>
      <c r="V390" s="9">
        <v>46189.853409826392</v>
      </c>
    </row>
    <row r="391" spans="1:22" x14ac:dyDescent="0.2">
      <c r="A391" s="8">
        <v>45833</v>
      </c>
      <c r="B391" s="7">
        <v>9</v>
      </c>
      <c r="C391" s="7">
        <v>1.8</v>
      </c>
      <c r="D391" s="7">
        <v>149112.98000000001</v>
      </c>
      <c r="E391" s="7">
        <v>-4</v>
      </c>
      <c r="F391" s="7">
        <v>1342016.82</v>
      </c>
      <c r="G391" s="7">
        <v>0</v>
      </c>
      <c r="H391" s="7">
        <v>-219067.24</v>
      </c>
      <c r="I391" s="7">
        <v>1122949.58</v>
      </c>
      <c r="J391" s="7">
        <v>128500</v>
      </c>
      <c r="K391" s="7">
        <v>0</v>
      </c>
      <c r="L391" s="7">
        <v>189800.42</v>
      </c>
      <c r="M391" s="7">
        <v>1441250</v>
      </c>
      <c r="N391" s="7">
        <v>0</v>
      </c>
      <c r="O391" s="7">
        <v>998949.58</v>
      </c>
      <c r="P391" s="7">
        <v>467266</v>
      </c>
      <c r="Q391" s="7">
        <v>531683.57999999996</v>
      </c>
      <c r="R391" s="7">
        <v>0</v>
      </c>
      <c r="S391" s="7">
        <v>12</v>
      </c>
      <c r="T391" s="7">
        <v>0</v>
      </c>
      <c r="U391" s="7">
        <v>0</v>
      </c>
      <c r="V391" s="9">
        <v>46189.853409826392</v>
      </c>
    </row>
    <row r="392" spans="1:22" x14ac:dyDescent="0.2">
      <c r="A392" s="8">
        <v>45834</v>
      </c>
      <c r="B392" s="7">
        <v>11</v>
      </c>
      <c r="C392" s="7">
        <v>1.8</v>
      </c>
      <c r="D392" s="7">
        <v>111027.50199999999</v>
      </c>
      <c r="E392" s="7">
        <v>0</v>
      </c>
      <c r="F392" s="7">
        <v>1221302.53</v>
      </c>
      <c r="G392" s="7">
        <v>0</v>
      </c>
      <c r="H392" s="7">
        <v>0</v>
      </c>
      <c r="I392" s="7">
        <v>1221302.53</v>
      </c>
      <c r="J392" s="7">
        <v>99500</v>
      </c>
      <c r="K392" s="7">
        <v>0</v>
      </c>
      <c r="L392" s="7">
        <v>219697.47</v>
      </c>
      <c r="M392" s="7">
        <v>1540500</v>
      </c>
      <c r="N392" s="7">
        <v>0</v>
      </c>
      <c r="O392" s="7">
        <v>1221302.53</v>
      </c>
      <c r="P392" s="7">
        <v>351596</v>
      </c>
      <c r="Q392" s="7">
        <v>869706.53</v>
      </c>
      <c r="R392" s="7">
        <v>0</v>
      </c>
      <c r="S392" s="7">
        <v>20</v>
      </c>
      <c r="T392" s="7">
        <v>0</v>
      </c>
      <c r="U392" s="7">
        <v>0</v>
      </c>
      <c r="V392" s="9">
        <v>46189.853409826392</v>
      </c>
    </row>
    <row r="393" spans="1:22" x14ac:dyDescent="0.2">
      <c r="A393" s="8">
        <v>45835</v>
      </c>
      <c r="B393" s="7">
        <v>7</v>
      </c>
      <c r="C393" s="7">
        <v>7.4</v>
      </c>
      <c r="D393" s="7">
        <v>187635.05499999999</v>
      </c>
      <c r="E393" s="7">
        <v>0</v>
      </c>
      <c r="F393" s="7">
        <v>1313445.3899999999</v>
      </c>
      <c r="G393" s="7">
        <v>0</v>
      </c>
      <c r="H393" s="7">
        <v>0</v>
      </c>
      <c r="I393" s="7">
        <v>1313445.3899999999</v>
      </c>
      <c r="J393" s="7">
        <v>32501</v>
      </c>
      <c r="K393" s="7">
        <v>0</v>
      </c>
      <c r="L393" s="7">
        <v>249554.61</v>
      </c>
      <c r="M393" s="7">
        <v>1595501</v>
      </c>
      <c r="N393" s="7">
        <v>0</v>
      </c>
      <c r="O393" s="7">
        <v>1313445.3899999999</v>
      </c>
      <c r="P393" s="7">
        <v>422950</v>
      </c>
      <c r="Q393" s="7">
        <v>890495.39</v>
      </c>
      <c r="R393" s="7">
        <v>0</v>
      </c>
      <c r="S393" s="7">
        <v>52</v>
      </c>
      <c r="T393" s="7">
        <v>0</v>
      </c>
      <c r="U393" s="7">
        <v>0</v>
      </c>
      <c r="V393" s="9">
        <v>46189.853409826392</v>
      </c>
    </row>
    <row r="394" spans="1:22" x14ac:dyDescent="0.2">
      <c r="A394" s="8">
        <v>45836</v>
      </c>
      <c r="B394" s="7">
        <v>4</v>
      </c>
      <c r="C394" s="7">
        <v>1.8</v>
      </c>
      <c r="D394" s="7">
        <v>194327.73199999999</v>
      </c>
      <c r="E394" s="7">
        <v>0</v>
      </c>
      <c r="F394" s="7">
        <v>781512.61</v>
      </c>
      <c r="G394" s="7">
        <v>-4201.68</v>
      </c>
      <c r="H394" s="7">
        <v>0</v>
      </c>
      <c r="I394" s="7">
        <v>777310.93</v>
      </c>
      <c r="J394" s="7">
        <v>32500</v>
      </c>
      <c r="K394" s="7">
        <v>0</v>
      </c>
      <c r="L394" s="7">
        <v>147689.07</v>
      </c>
      <c r="M394" s="7">
        <v>957500</v>
      </c>
      <c r="N394" s="7">
        <v>0</v>
      </c>
      <c r="O394" s="7">
        <v>777310.93</v>
      </c>
      <c r="P394" s="7">
        <v>269895</v>
      </c>
      <c r="Q394" s="7">
        <v>507415.93</v>
      </c>
      <c r="R394" s="7">
        <v>0</v>
      </c>
      <c r="S394" s="7">
        <v>7</v>
      </c>
      <c r="T394" s="7">
        <v>0</v>
      </c>
      <c r="U394" s="7">
        <v>0</v>
      </c>
      <c r="V394" s="9">
        <v>46189.853409826392</v>
      </c>
    </row>
    <row r="395" spans="1:22" x14ac:dyDescent="0.2">
      <c r="A395" s="8">
        <v>45837</v>
      </c>
      <c r="B395" s="7">
        <v>2</v>
      </c>
      <c r="C395" s="7">
        <v>1.5</v>
      </c>
      <c r="D395" s="7">
        <v>134453.785</v>
      </c>
      <c r="E395" s="7">
        <v>0</v>
      </c>
      <c r="F395" s="7">
        <v>268907.57</v>
      </c>
      <c r="G395" s="7">
        <v>0</v>
      </c>
      <c r="H395" s="7">
        <v>0</v>
      </c>
      <c r="I395" s="7">
        <v>268907.57</v>
      </c>
      <c r="J395" s="7">
        <v>18000</v>
      </c>
      <c r="K395" s="7">
        <v>0</v>
      </c>
      <c r="L395" s="7">
        <v>51092.43</v>
      </c>
      <c r="M395" s="7">
        <v>338000</v>
      </c>
      <c r="N395" s="7">
        <v>0</v>
      </c>
      <c r="O395" s="7">
        <v>268907.57</v>
      </c>
      <c r="P395" s="7">
        <v>64138</v>
      </c>
      <c r="Q395" s="7">
        <v>204769.57</v>
      </c>
      <c r="R395" s="7">
        <v>0</v>
      </c>
      <c r="S395" s="7">
        <v>3</v>
      </c>
      <c r="T395" s="7">
        <v>0</v>
      </c>
      <c r="U395" s="7">
        <v>0</v>
      </c>
      <c r="V395" s="9">
        <v>46189.853409826392</v>
      </c>
    </row>
    <row r="396" spans="1:22" x14ac:dyDescent="0.2">
      <c r="A396" s="8">
        <v>45838</v>
      </c>
      <c r="B396" s="7">
        <v>4</v>
      </c>
      <c r="C396" s="7">
        <v>3.2</v>
      </c>
      <c r="D396" s="7">
        <v>233193.277</v>
      </c>
      <c r="E396" s="7">
        <v>0</v>
      </c>
      <c r="F396" s="7">
        <v>932773.11</v>
      </c>
      <c r="G396" s="7">
        <v>0</v>
      </c>
      <c r="H396" s="7">
        <v>0</v>
      </c>
      <c r="I396" s="7">
        <v>932773.11</v>
      </c>
      <c r="J396" s="7">
        <v>27000</v>
      </c>
      <c r="K396" s="7">
        <v>0</v>
      </c>
      <c r="L396" s="7">
        <v>177226.89</v>
      </c>
      <c r="M396" s="7">
        <v>1137000</v>
      </c>
      <c r="N396" s="7">
        <v>0</v>
      </c>
      <c r="O396" s="7">
        <v>932773.11</v>
      </c>
      <c r="P396" s="7">
        <v>323935</v>
      </c>
      <c r="Q396" s="7">
        <v>608838.11</v>
      </c>
      <c r="R396" s="7">
        <v>0</v>
      </c>
      <c r="S396" s="7">
        <v>13</v>
      </c>
      <c r="T396" s="7">
        <v>0</v>
      </c>
      <c r="U396" s="7">
        <v>0</v>
      </c>
      <c r="V396" s="9">
        <v>46189.853409826392</v>
      </c>
    </row>
    <row r="397" spans="1:22" x14ac:dyDescent="0.2">
      <c r="A397" s="8">
        <v>45839</v>
      </c>
      <c r="B397" s="7">
        <v>7</v>
      </c>
      <c r="C397" s="7">
        <v>1.3</v>
      </c>
      <c r="D397" s="7">
        <v>120528.211</v>
      </c>
      <c r="E397" s="7">
        <v>0</v>
      </c>
      <c r="F397" s="7">
        <v>852100.84</v>
      </c>
      <c r="G397" s="7">
        <v>-8403.36</v>
      </c>
      <c r="H397" s="7">
        <v>0</v>
      </c>
      <c r="I397" s="7">
        <v>843697.48</v>
      </c>
      <c r="J397" s="7">
        <v>18000</v>
      </c>
      <c r="K397" s="7">
        <v>0</v>
      </c>
      <c r="L397" s="7">
        <v>160302.51999999999</v>
      </c>
      <c r="M397" s="7">
        <v>1022000</v>
      </c>
      <c r="N397" s="7">
        <v>0</v>
      </c>
      <c r="O397" s="7">
        <v>843697.48</v>
      </c>
      <c r="P397" s="7">
        <v>220086</v>
      </c>
      <c r="Q397" s="7">
        <v>623611.48</v>
      </c>
      <c r="R397" s="7">
        <v>0</v>
      </c>
      <c r="S397" s="7">
        <v>9</v>
      </c>
      <c r="T397" s="7">
        <v>0</v>
      </c>
      <c r="U397" s="7">
        <v>0</v>
      </c>
      <c r="V397" s="9">
        <v>46189.853409826392</v>
      </c>
    </row>
    <row r="398" spans="1:22" x14ac:dyDescent="0.2">
      <c r="A398" s="8">
        <v>45840</v>
      </c>
      <c r="B398" s="7">
        <v>11</v>
      </c>
      <c r="C398" s="7">
        <v>2.1</v>
      </c>
      <c r="D398" s="7">
        <v>123529.412</v>
      </c>
      <c r="E398" s="7">
        <v>0</v>
      </c>
      <c r="F398" s="7">
        <v>1358823.54</v>
      </c>
      <c r="G398" s="7">
        <v>0</v>
      </c>
      <c r="H398" s="7">
        <v>0</v>
      </c>
      <c r="I398" s="7">
        <v>1358823.54</v>
      </c>
      <c r="J398" s="7">
        <v>32501</v>
      </c>
      <c r="K398" s="7">
        <v>0</v>
      </c>
      <c r="L398" s="7">
        <v>258176.46</v>
      </c>
      <c r="M398" s="7">
        <v>1649501</v>
      </c>
      <c r="N398" s="7">
        <v>46218.48</v>
      </c>
      <c r="O398" s="7">
        <v>1312605.06</v>
      </c>
      <c r="P398" s="7">
        <v>364823</v>
      </c>
      <c r="Q398" s="7">
        <v>947782.06</v>
      </c>
      <c r="R398" s="7">
        <v>0</v>
      </c>
      <c r="S398" s="7">
        <v>23</v>
      </c>
      <c r="T398" s="7">
        <v>0</v>
      </c>
      <c r="U398" s="7">
        <v>0</v>
      </c>
      <c r="V398" s="9">
        <v>46189.853409826392</v>
      </c>
    </row>
    <row r="399" spans="1:22" x14ac:dyDescent="0.2">
      <c r="A399" s="8">
        <v>45841</v>
      </c>
      <c r="B399" s="7">
        <v>9</v>
      </c>
      <c r="C399" s="7">
        <v>1.7</v>
      </c>
      <c r="D399" s="7">
        <v>90663.024000000005</v>
      </c>
      <c r="E399" s="7">
        <v>0</v>
      </c>
      <c r="F399" s="7">
        <v>815967.22</v>
      </c>
      <c r="G399" s="7">
        <v>0</v>
      </c>
      <c r="H399" s="7">
        <v>0</v>
      </c>
      <c r="I399" s="7">
        <v>815967.22</v>
      </c>
      <c r="J399" s="7">
        <v>77000</v>
      </c>
      <c r="K399" s="7">
        <v>0</v>
      </c>
      <c r="L399" s="7">
        <v>155033.78</v>
      </c>
      <c r="M399" s="7">
        <v>1048001</v>
      </c>
      <c r="N399" s="7">
        <v>0.84</v>
      </c>
      <c r="O399" s="7">
        <v>815966.38</v>
      </c>
      <c r="P399" s="7">
        <v>234454</v>
      </c>
      <c r="Q399" s="7">
        <v>581512.38</v>
      </c>
      <c r="R399" s="7">
        <v>0</v>
      </c>
      <c r="S399" s="7">
        <v>15</v>
      </c>
      <c r="T399" s="7">
        <v>0</v>
      </c>
      <c r="U399" s="7">
        <v>0</v>
      </c>
      <c r="V399" s="9">
        <v>46189.853409826392</v>
      </c>
    </row>
    <row r="400" spans="1:22" x14ac:dyDescent="0.2">
      <c r="A400" s="8">
        <v>45842</v>
      </c>
      <c r="B400" s="7">
        <v>6</v>
      </c>
      <c r="C400" s="7">
        <v>2.2000000000000002</v>
      </c>
      <c r="D400" s="7">
        <v>160364.14600000001</v>
      </c>
      <c r="E400" s="7">
        <v>0</v>
      </c>
      <c r="F400" s="7">
        <v>1214285.72</v>
      </c>
      <c r="G400" s="7">
        <v>0</v>
      </c>
      <c r="H400" s="7">
        <v>0</v>
      </c>
      <c r="I400" s="7">
        <v>1214285.72</v>
      </c>
      <c r="J400" s="7">
        <v>23500</v>
      </c>
      <c r="K400" s="7">
        <v>0</v>
      </c>
      <c r="L400" s="7">
        <v>230714.28</v>
      </c>
      <c r="M400" s="7">
        <v>1468500</v>
      </c>
      <c r="N400" s="7">
        <v>0</v>
      </c>
      <c r="O400" s="7">
        <v>1214285.72</v>
      </c>
      <c r="P400" s="7">
        <v>242311</v>
      </c>
      <c r="Q400" s="7">
        <v>971974.72</v>
      </c>
      <c r="R400" s="7">
        <v>0</v>
      </c>
      <c r="S400" s="7">
        <v>15</v>
      </c>
      <c r="T400" s="7">
        <v>0</v>
      </c>
      <c r="U400" s="7">
        <v>0</v>
      </c>
      <c r="V400" s="9">
        <v>46189.853409826392</v>
      </c>
    </row>
    <row r="401" spans="1:22" x14ac:dyDescent="0.2">
      <c r="A401" s="8">
        <v>45843</v>
      </c>
      <c r="B401" s="7">
        <v>8</v>
      </c>
      <c r="C401" s="7">
        <v>2.4</v>
      </c>
      <c r="D401" s="7">
        <v>113970.59</v>
      </c>
      <c r="E401" s="7">
        <v>0</v>
      </c>
      <c r="F401" s="7">
        <v>987394.97</v>
      </c>
      <c r="G401" s="7">
        <v>-75630.25</v>
      </c>
      <c r="H401" s="7">
        <v>0</v>
      </c>
      <c r="I401" s="7">
        <v>911764.72</v>
      </c>
      <c r="J401" s="7">
        <v>23500</v>
      </c>
      <c r="K401" s="7">
        <v>0</v>
      </c>
      <c r="L401" s="7">
        <v>173235.28</v>
      </c>
      <c r="M401" s="7">
        <v>1108500</v>
      </c>
      <c r="N401" s="7">
        <v>0</v>
      </c>
      <c r="O401" s="7">
        <v>911764.72</v>
      </c>
      <c r="P401" s="7">
        <v>280646</v>
      </c>
      <c r="Q401" s="7">
        <v>631118.72</v>
      </c>
      <c r="R401" s="7">
        <v>0</v>
      </c>
      <c r="S401" s="7">
        <v>19</v>
      </c>
      <c r="T401" s="7">
        <v>0</v>
      </c>
      <c r="U401" s="7">
        <v>0</v>
      </c>
      <c r="V401" s="9">
        <v>46189.853409826392</v>
      </c>
    </row>
    <row r="402" spans="1:22" x14ac:dyDescent="0.2">
      <c r="A402" s="8">
        <v>45844</v>
      </c>
      <c r="B402" s="7">
        <v>1</v>
      </c>
      <c r="C402" s="7">
        <v>3</v>
      </c>
      <c r="D402" s="7">
        <v>176470.59</v>
      </c>
      <c r="E402" s="7">
        <v>0</v>
      </c>
      <c r="F402" s="7">
        <v>176470.59</v>
      </c>
      <c r="G402" s="7">
        <v>0</v>
      </c>
      <c r="H402" s="7">
        <v>0</v>
      </c>
      <c r="I402" s="7">
        <v>176470.59</v>
      </c>
      <c r="J402" s="7">
        <v>9000</v>
      </c>
      <c r="K402" s="7">
        <v>0</v>
      </c>
      <c r="L402" s="7">
        <v>33529.410000000003</v>
      </c>
      <c r="M402" s="7">
        <v>219000</v>
      </c>
      <c r="N402" s="7">
        <v>0</v>
      </c>
      <c r="O402" s="7">
        <v>176470.59</v>
      </c>
      <c r="P402" s="7">
        <v>48975</v>
      </c>
      <c r="Q402" s="7">
        <v>127495.59</v>
      </c>
      <c r="R402" s="7">
        <v>0</v>
      </c>
      <c r="S402" s="7">
        <v>3</v>
      </c>
      <c r="T402" s="7">
        <v>0</v>
      </c>
      <c r="U402" s="7">
        <v>0</v>
      </c>
      <c r="V402" s="9">
        <v>46189.853409826392</v>
      </c>
    </row>
    <row r="403" spans="1:22" x14ac:dyDescent="0.2">
      <c r="A403" s="8">
        <v>45845</v>
      </c>
      <c r="B403" s="7">
        <v>8</v>
      </c>
      <c r="C403" s="7">
        <v>2.4</v>
      </c>
      <c r="D403" s="7">
        <v>139810.92499999999</v>
      </c>
      <c r="E403" s="7">
        <v>0</v>
      </c>
      <c r="F403" s="7">
        <v>1140336.1399999999</v>
      </c>
      <c r="G403" s="7">
        <v>0</v>
      </c>
      <c r="H403" s="7">
        <v>0</v>
      </c>
      <c r="I403" s="7">
        <v>1140336.1399999999</v>
      </c>
      <c r="J403" s="7">
        <v>50500</v>
      </c>
      <c r="K403" s="7">
        <v>0</v>
      </c>
      <c r="L403" s="7">
        <v>216663.86</v>
      </c>
      <c r="M403" s="7">
        <v>1407500</v>
      </c>
      <c r="N403" s="7">
        <v>0</v>
      </c>
      <c r="O403" s="7">
        <v>1140336.1399999999</v>
      </c>
      <c r="P403" s="7">
        <v>329830</v>
      </c>
      <c r="Q403" s="7">
        <v>810506.14</v>
      </c>
      <c r="R403" s="7">
        <v>0</v>
      </c>
      <c r="S403" s="7">
        <v>20</v>
      </c>
      <c r="T403" s="7">
        <v>0</v>
      </c>
      <c r="U403" s="7">
        <v>0</v>
      </c>
      <c r="V403" s="9">
        <v>46189.853409826392</v>
      </c>
    </row>
    <row r="404" spans="1:22" x14ac:dyDescent="0.2">
      <c r="A404" s="8">
        <v>45846</v>
      </c>
      <c r="B404" s="7">
        <v>7</v>
      </c>
      <c r="C404" s="7">
        <v>4.0999999999999996</v>
      </c>
      <c r="D404" s="7">
        <v>80672.267999999996</v>
      </c>
      <c r="E404" s="7">
        <v>-1</v>
      </c>
      <c r="F404" s="7">
        <v>615126.05000000005</v>
      </c>
      <c r="G404" s="7">
        <v>-50420.17</v>
      </c>
      <c r="H404" s="7">
        <v>-126050.42</v>
      </c>
      <c r="I404" s="7">
        <v>438655.46</v>
      </c>
      <c r="J404" s="7">
        <v>0</v>
      </c>
      <c r="K404" s="7">
        <v>0</v>
      </c>
      <c r="L404" s="7">
        <v>83344.539999999994</v>
      </c>
      <c r="M404" s="7">
        <v>522000</v>
      </c>
      <c r="N404" s="7">
        <v>0</v>
      </c>
      <c r="O404" s="7">
        <v>438655.46</v>
      </c>
      <c r="P404" s="7">
        <v>169844</v>
      </c>
      <c r="Q404" s="7">
        <v>268811.46000000002</v>
      </c>
      <c r="R404" s="7">
        <v>0</v>
      </c>
      <c r="S404" s="7">
        <v>28</v>
      </c>
      <c r="T404" s="7">
        <v>0</v>
      </c>
      <c r="U404" s="7">
        <v>0</v>
      </c>
      <c r="V404" s="9">
        <v>46189.853409826392</v>
      </c>
    </row>
    <row r="405" spans="1:22" x14ac:dyDescent="0.2">
      <c r="A405" s="8">
        <v>45847</v>
      </c>
      <c r="B405" s="7">
        <v>22</v>
      </c>
      <c r="C405" s="7">
        <v>2.2999999999999998</v>
      </c>
      <c r="D405" s="7">
        <v>171896.48499999999</v>
      </c>
      <c r="E405" s="7">
        <v>-2</v>
      </c>
      <c r="F405" s="7">
        <v>3827731.05</v>
      </c>
      <c r="G405" s="7">
        <v>-46008.36</v>
      </c>
      <c r="H405" s="7">
        <v>-105042.02</v>
      </c>
      <c r="I405" s="7">
        <v>3676680.67</v>
      </c>
      <c r="J405" s="7">
        <v>104000</v>
      </c>
      <c r="K405" s="7">
        <v>0</v>
      </c>
      <c r="L405" s="7">
        <v>698569.33</v>
      </c>
      <c r="M405" s="7">
        <v>4479250</v>
      </c>
      <c r="N405" s="7">
        <v>100840.34</v>
      </c>
      <c r="O405" s="7">
        <v>3575840.33</v>
      </c>
      <c r="P405" s="7">
        <v>1132151</v>
      </c>
      <c r="Q405" s="7">
        <v>2443689.33</v>
      </c>
      <c r="R405" s="7">
        <v>0</v>
      </c>
      <c r="S405" s="7">
        <v>48</v>
      </c>
      <c r="T405" s="7">
        <v>0</v>
      </c>
      <c r="U405" s="7">
        <v>0</v>
      </c>
      <c r="V405" s="9">
        <v>46189.853409826392</v>
      </c>
    </row>
    <row r="406" spans="1:22" x14ac:dyDescent="0.2">
      <c r="A406" s="8">
        <v>45848</v>
      </c>
      <c r="B406" s="7">
        <v>22</v>
      </c>
      <c r="C406" s="7">
        <v>1.8</v>
      </c>
      <c r="D406" s="7">
        <v>131398.01300000001</v>
      </c>
      <c r="E406" s="7">
        <v>0</v>
      </c>
      <c r="F406" s="7">
        <v>2890756.3</v>
      </c>
      <c r="G406" s="7">
        <v>0</v>
      </c>
      <c r="H406" s="7">
        <v>0</v>
      </c>
      <c r="I406" s="7">
        <v>2890756.3</v>
      </c>
      <c r="J406" s="7">
        <v>125500</v>
      </c>
      <c r="K406" s="7">
        <v>0</v>
      </c>
      <c r="L406" s="7">
        <v>549243.69999999995</v>
      </c>
      <c r="M406" s="7">
        <v>3565500</v>
      </c>
      <c r="N406" s="7">
        <v>310924.37</v>
      </c>
      <c r="O406" s="7">
        <v>2579831.9300000002</v>
      </c>
      <c r="P406" s="7">
        <v>791891</v>
      </c>
      <c r="Q406" s="7">
        <v>1787940.93</v>
      </c>
      <c r="R406" s="7">
        <v>0</v>
      </c>
      <c r="S406" s="7">
        <v>39</v>
      </c>
      <c r="T406" s="7">
        <v>0</v>
      </c>
      <c r="U406" s="7">
        <v>0</v>
      </c>
      <c r="V406" s="9">
        <v>46189.853409826392</v>
      </c>
    </row>
    <row r="407" spans="1:22" x14ac:dyDescent="0.2">
      <c r="A407" s="8">
        <v>45849</v>
      </c>
      <c r="B407" s="7">
        <v>17</v>
      </c>
      <c r="C407" s="7">
        <v>2.1</v>
      </c>
      <c r="D407" s="7">
        <v>130993.573</v>
      </c>
      <c r="E407" s="7">
        <v>0</v>
      </c>
      <c r="F407" s="7">
        <v>2226890.75</v>
      </c>
      <c r="G407" s="7">
        <v>0</v>
      </c>
      <c r="H407" s="7">
        <v>0</v>
      </c>
      <c r="I407" s="7">
        <v>2226890.75</v>
      </c>
      <c r="J407" s="7">
        <v>27000</v>
      </c>
      <c r="K407" s="7">
        <v>0</v>
      </c>
      <c r="L407" s="7">
        <v>423109.25</v>
      </c>
      <c r="M407" s="7">
        <v>2677000</v>
      </c>
      <c r="N407" s="7">
        <v>0</v>
      </c>
      <c r="O407" s="7">
        <v>2226890.75</v>
      </c>
      <c r="P407" s="7">
        <v>714089</v>
      </c>
      <c r="Q407" s="7">
        <v>1512801.75</v>
      </c>
      <c r="R407" s="7">
        <v>0</v>
      </c>
      <c r="S407" s="7">
        <v>35</v>
      </c>
      <c r="T407" s="7">
        <v>0</v>
      </c>
      <c r="U407" s="7">
        <v>0</v>
      </c>
      <c r="V407" s="9">
        <v>46189.853409826392</v>
      </c>
    </row>
    <row r="408" spans="1:22" x14ac:dyDescent="0.2">
      <c r="A408" s="8">
        <v>45850</v>
      </c>
      <c r="B408" s="7">
        <v>23</v>
      </c>
      <c r="C408" s="7">
        <v>2.2999999999999998</v>
      </c>
      <c r="D408" s="7">
        <v>160796.53599999999</v>
      </c>
      <c r="E408" s="7">
        <v>0</v>
      </c>
      <c r="F408" s="7">
        <v>3698320.35</v>
      </c>
      <c r="G408" s="7">
        <v>0</v>
      </c>
      <c r="H408" s="7">
        <v>0</v>
      </c>
      <c r="I408" s="7">
        <v>3698320.35</v>
      </c>
      <c r="J408" s="7">
        <v>39500</v>
      </c>
      <c r="K408" s="7">
        <v>0</v>
      </c>
      <c r="L408" s="7">
        <v>702680.65</v>
      </c>
      <c r="M408" s="7">
        <v>4440501</v>
      </c>
      <c r="N408" s="7">
        <v>100841.33</v>
      </c>
      <c r="O408" s="7">
        <v>3597479.02</v>
      </c>
      <c r="P408" s="7">
        <v>1019863</v>
      </c>
      <c r="Q408" s="7">
        <v>2577616.02</v>
      </c>
      <c r="R408" s="7">
        <v>0</v>
      </c>
      <c r="S408" s="7">
        <v>53</v>
      </c>
      <c r="T408" s="7">
        <v>0</v>
      </c>
      <c r="U408" s="7">
        <v>0</v>
      </c>
      <c r="V408" s="9">
        <v>46189.853409826392</v>
      </c>
    </row>
    <row r="409" spans="1:22" x14ac:dyDescent="0.2">
      <c r="A409" s="8">
        <v>45851</v>
      </c>
      <c r="B409" s="7">
        <v>9</v>
      </c>
      <c r="C409" s="7">
        <v>2.8</v>
      </c>
      <c r="D409" s="7">
        <v>183006.535</v>
      </c>
      <c r="E409" s="7">
        <v>0</v>
      </c>
      <c r="F409" s="7">
        <v>1647058.82</v>
      </c>
      <c r="G409" s="7">
        <v>0</v>
      </c>
      <c r="H409" s="7">
        <v>0</v>
      </c>
      <c r="I409" s="7">
        <v>1647058.82</v>
      </c>
      <c r="J409" s="7">
        <v>18000</v>
      </c>
      <c r="K409" s="7">
        <v>0</v>
      </c>
      <c r="L409" s="7">
        <v>312941.18</v>
      </c>
      <c r="M409" s="7">
        <v>1978000</v>
      </c>
      <c r="N409" s="7">
        <v>0</v>
      </c>
      <c r="O409" s="7">
        <v>1647058.82</v>
      </c>
      <c r="P409" s="7">
        <v>441844</v>
      </c>
      <c r="Q409" s="7">
        <v>1205214.82</v>
      </c>
      <c r="R409" s="7">
        <v>0</v>
      </c>
      <c r="S409" s="7">
        <v>25</v>
      </c>
      <c r="T409" s="7">
        <v>0</v>
      </c>
      <c r="U409" s="7">
        <v>0</v>
      </c>
      <c r="V409" s="9">
        <v>46189.853409826392</v>
      </c>
    </row>
    <row r="410" spans="1:22" x14ac:dyDescent="0.2">
      <c r="A410" s="8">
        <v>45852</v>
      </c>
      <c r="B410" s="7">
        <v>14</v>
      </c>
      <c r="C410" s="7">
        <v>1.7</v>
      </c>
      <c r="D410" s="7">
        <v>100360.20299999999</v>
      </c>
      <c r="E410" s="7">
        <v>0</v>
      </c>
      <c r="F410" s="7">
        <v>1405042.85</v>
      </c>
      <c r="G410" s="7">
        <v>0</v>
      </c>
      <c r="H410" s="7">
        <v>0</v>
      </c>
      <c r="I410" s="7">
        <v>1405042.85</v>
      </c>
      <c r="J410" s="7">
        <v>14500</v>
      </c>
      <c r="K410" s="7">
        <v>0</v>
      </c>
      <c r="L410" s="7">
        <v>266958.15000000002</v>
      </c>
      <c r="M410" s="7">
        <v>1686501</v>
      </c>
      <c r="N410" s="7">
        <v>0.84</v>
      </c>
      <c r="O410" s="7">
        <v>1405042.01</v>
      </c>
      <c r="P410" s="7">
        <v>424633</v>
      </c>
      <c r="Q410" s="7">
        <v>980409.01</v>
      </c>
      <c r="R410" s="7">
        <v>0</v>
      </c>
      <c r="S410" s="7">
        <v>24</v>
      </c>
      <c r="T410" s="7">
        <v>0</v>
      </c>
      <c r="U410" s="7">
        <v>0</v>
      </c>
      <c r="V410" s="9">
        <v>46189.853409826392</v>
      </c>
    </row>
    <row r="411" spans="1:22" x14ac:dyDescent="0.2">
      <c r="A411" s="8">
        <v>45853</v>
      </c>
      <c r="B411" s="7">
        <v>19</v>
      </c>
      <c r="C411" s="7">
        <v>1.9</v>
      </c>
      <c r="D411" s="7">
        <v>130369.747</v>
      </c>
      <c r="E411" s="7">
        <v>0</v>
      </c>
      <c r="F411" s="7">
        <v>2561058.81</v>
      </c>
      <c r="G411" s="7">
        <v>-84033.600000000006</v>
      </c>
      <c r="H411" s="7">
        <v>0</v>
      </c>
      <c r="I411" s="7">
        <v>2477025.21</v>
      </c>
      <c r="J411" s="7">
        <v>122500</v>
      </c>
      <c r="K411" s="7">
        <v>0</v>
      </c>
      <c r="L411" s="7">
        <v>448974.79</v>
      </c>
      <c r="M411" s="7">
        <v>3048500</v>
      </c>
      <c r="N411" s="7">
        <v>0</v>
      </c>
      <c r="O411" s="7">
        <v>2477025.21</v>
      </c>
      <c r="P411" s="7">
        <v>815858</v>
      </c>
      <c r="Q411" s="7">
        <v>1661167.21</v>
      </c>
      <c r="R411" s="7">
        <v>0</v>
      </c>
      <c r="S411" s="7">
        <v>37</v>
      </c>
      <c r="T411" s="7">
        <v>0</v>
      </c>
      <c r="U411" s="7">
        <v>0</v>
      </c>
      <c r="V411" s="9">
        <v>46189.853409826392</v>
      </c>
    </row>
    <row r="412" spans="1:22" x14ac:dyDescent="0.2">
      <c r="A412" s="8">
        <v>45854</v>
      </c>
      <c r="B412" s="7">
        <v>16</v>
      </c>
      <c r="C412" s="7">
        <v>4.4000000000000004</v>
      </c>
      <c r="D412" s="7">
        <v>132090.33499999999</v>
      </c>
      <c r="E412" s="7">
        <v>0</v>
      </c>
      <c r="F412" s="7">
        <v>2113445.36</v>
      </c>
      <c r="G412" s="7">
        <v>0</v>
      </c>
      <c r="H412" s="7">
        <v>0</v>
      </c>
      <c r="I412" s="7">
        <v>2113445.36</v>
      </c>
      <c r="J412" s="7">
        <v>56000</v>
      </c>
      <c r="K412" s="7">
        <v>0</v>
      </c>
      <c r="L412" s="7">
        <v>401554.64</v>
      </c>
      <c r="M412" s="7">
        <v>2571000</v>
      </c>
      <c r="N412" s="7">
        <v>0</v>
      </c>
      <c r="O412" s="7">
        <v>2113445.36</v>
      </c>
      <c r="P412" s="7">
        <v>702371</v>
      </c>
      <c r="Q412" s="7">
        <v>1411074.36</v>
      </c>
      <c r="R412" s="7">
        <v>0</v>
      </c>
      <c r="S412" s="7">
        <v>71</v>
      </c>
      <c r="T412" s="7">
        <v>0</v>
      </c>
      <c r="U412" s="7">
        <v>0</v>
      </c>
      <c r="V412" s="9">
        <v>46189.853409826392</v>
      </c>
    </row>
    <row r="413" spans="1:22" x14ac:dyDescent="0.2">
      <c r="A413" s="8">
        <v>45855</v>
      </c>
      <c r="B413" s="7">
        <v>29</v>
      </c>
      <c r="C413" s="7">
        <v>2</v>
      </c>
      <c r="D413" s="7">
        <v>108852.53599999999</v>
      </c>
      <c r="E413" s="7">
        <v>-8</v>
      </c>
      <c r="F413" s="7">
        <v>3733194.13</v>
      </c>
      <c r="G413" s="7">
        <v>-26470.58</v>
      </c>
      <c r="H413" s="7">
        <v>-470588.24</v>
      </c>
      <c r="I413" s="7">
        <v>3236135.31</v>
      </c>
      <c r="J413" s="7">
        <v>97500</v>
      </c>
      <c r="K413" s="7">
        <v>0</v>
      </c>
      <c r="L413" s="7">
        <v>614865.68999999994</v>
      </c>
      <c r="M413" s="7">
        <v>3948501</v>
      </c>
      <c r="N413" s="7">
        <v>0.84</v>
      </c>
      <c r="O413" s="7">
        <v>3236134.47</v>
      </c>
      <c r="P413" s="7">
        <v>961608</v>
      </c>
      <c r="Q413" s="7">
        <v>2274526.4700000002</v>
      </c>
      <c r="R413" s="7">
        <v>0</v>
      </c>
      <c r="S413" s="7">
        <v>60</v>
      </c>
      <c r="T413" s="7">
        <v>0</v>
      </c>
      <c r="U413" s="7">
        <v>0</v>
      </c>
      <c r="V413" s="9">
        <v>46189.853409826392</v>
      </c>
    </row>
    <row r="414" spans="1:22" x14ac:dyDescent="0.2">
      <c r="A414" s="8">
        <v>45856</v>
      </c>
      <c r="B414" s="7">
        <v>18</v>
      </c>
      <c r="C414" s="7">
        <v>2.4</v>
      </c>
      <c r="D414" s="7">
        <v>152544.35200000001</v>
      </c>
      <c r="E414" s="7">
        <v>-4</v>
      </c>
      <c r="F414" s="7">
        <v>2938655.48</v>
      </c>
      <c r="G414" s="7">
        <v>0</v>
      </c>
      <c r="H414" s="7">
        <v>-240226.89</v>
      </c>
      <c r="I414" s="7">
        <v>2698428.59</v>
      </c>
      <c r="J414" s="7">
        <v>39000</v>
      </c>
      <c r="K414" s="7">
        <v>0</v>
      </c>
      <c r="L414" s="7">
        <v>488571.41</v>
      </c>
      <c r="M414" s="7">
        <v>3226000</v>
      </c>
      <c r="N414" s="7">
        <v>-1</v>
      </c>
      <c r="O414" s="7">
        <v>2698428.59</v>
      </c>
      <c r="P414" s="7">
        <v>879237</v>
      </c>
      <c r="Q414" s="7">
        <v>1819191.59</v>
      </c>
      <c r="R414" s="7">
        <v>0</v>
      </c>
      <c r="S414" s="7">
        <v>42</v>
      </c>
      <c r="T414" s="7">
        <v>0</v>
      </c>
      <c r="U414" s="7">
        <v>0</v>
      </c>
      <c r="V414" s="9">
        <v>46189.853409826392</v>
      </c>
    </row>
    <row r="415" spans="1:22" x14ac:dyDescent="0.2">
      <c r="A415" s="8">
        <v>45857</v>
      </c>
      <c r="B415" s="7">
        <v>15</v>
      </c>
      <c r="C415" s="7">
        <v>2</v>
      </c>
      <c r="D415" s="7">
        <v>128099.16099999999</v>
      </c>
      <c r="E415" s="7">
        <v>0</v>
      </c>
      <c r="F415" s="7">
        <v>1921487.42</v>
      </c>
      <c r="G415" s="7">
        <v>0</v>
      </c>
      <c r="H415" s="7">
        <v>0</v>
      </c>
      <c r="I415" s="7">
        <v>1921487.42</v>
      </c>
      <c r="J415" s="7">
        <v>52500</v>
      </c>
      <c r="K415" s="7">
        <v>0</v>
      </c>
      <c r="L415" s="7">
        <v>326512.58</v>
      </c>
      <c r="M415" s="7">
        <v>2300500</v>
      </c>
      <c r="N415" s="7">
        <v>0</v>
      </c>
      <c r="O415" s="7">
        <v>1921487.42</v>
      </c>
      <c r="P415" s="7">
        <v>699642</v>
      </c>
      <c r="Q415" s="7">
        <v>1221845.42</v>
      </c>
      <c r="R415" s="7">
        <v>0</v>
      </c>
      <c r="S415" s="7">
        <v>30</v>
      </c>
      <c r="T415" s="7">
        <v>0</v>
      </c>
      <c r="U415" s="7">
        <v>0</v>
      </c>
      <c r="V415" s="9">
        <v>46189.853409826392</v>
      </c>
    </row>
    <row r="416" spans="1:22" x14ac:dyDescent="0.2">
      <c r="A416" s="8">
        <v>45858</v>
      </c>
      <c r="B416" s="7">
        <v>23</v>
      </c>
      <c r="C416" s="7">
        <v>1.7</v>
      </c>
      <c r="D416" s="7">
        <v>126970.04</v>
      </c>
      <c r="E416" s="7">
        <v>-1</v>
      </c>
      <c r="F416" s="7">
        <v>2920310.94</v>
      </c>
      <c r="G416" s="7">
        <v>0</v>
      </c>
      <c r="H416" s="7">
        <v>-74000</v>
      </c>
      <c r="I416" s="7">
        <v>2846310.94</v>
      </c>
      <c r="J416" s="7">
        <v>65000</v>
      </c>
      <c r="K416" s="7">
        <v>0</v>
      </c>
      <c r="L416" s="7">
        <v>508689.06</v>
      </c>
      <c r="M416" s="7">
        <v>3420000</v>
      </c>
      <c r="N416" s="7">
        <v>0</v>
      </c>
      <c r="O416" s="7">
        <v>2846310.94</v>
      </c>
      <c r="P416" s="7">
        <v>951038</v>
      </c>
      <c r="Q416" s="7">
        <v>1895272.94</v>
      </c>
      <c r="R416" s="7">
        <v>0</v>
      </c>
      <c r="S416" s="7">
        <v>39</v>
      </c>
      <c r="T416" s="7">
        <v>0</v>
      </c>
      <c r="U416" s="7">
        <v>0</v>
      </c>
      <c r="V416" s="9">
        <v>46189.853409826392</v>
      </c>
    </row>
    <row r="417" spans="1:22" x14ac:dyDescent="0.2">
      <c r="A417" s="8">
        <v>45859</v>
      </c>
      <c r="B417" s="7">
        <v>24</v>
      </c>
      <c r="C417" s="7">
        <v>1.8</v>
      </c>
      <c r="D417" s="7">
        <v>138156.54699999999</v>
      </c>
      <c r="E417" s="7">
        <v>0</v>
      </c>
      <c r="F417" s="7">
        <v>3373740.34</v>
      </c>
      <c r="G417" s="7">
        <v>-25210.080000000002</v>
      </c>
      <c r="H417" s="7">
        <v>0</v>
      </c>
      <c r="I417" s="7">
        <v>3348530.26</v>
      </c>
      <c r="J417" s="7">
        <v>181000</v>
      </c>
      <c r="K417" s="7">
        <v>0</v>
      </c>
      <c r="L417" s="7">
        <v>636220.74</v>
      </c>
      <c r="M417" s="7">
        <v>4165751</v>
      </c>
      <c r="N417" s="7">
        <v>0</v>
      </c>
      <c r="O417" s="7">
        <v>3348530.26</v>
      </c>
      <c r="P417" s="7">
        <v>955130</v>
      </c>
      <c r="Q417" s="7">
        <v>2393400.2599999998</v>
      </c>
      <c r="R417" s="7">
        <v>0</v>
      </c>
      <c r="S417" s="7">
        <v>44</v>
      </c>
      <c r="T417" s="7">
        <v>0</v>
      </c>
      <c r="U417" s="7">
        <v>0</v>
      </c>
      <c r="V417" s="9">
        <v>46189.853409826392</v>
      </c>
    </row>
    <row r="418" spans="1:22" x14ac:dyDescent="0.2">
      <c r="A418" s="8">
        <v>45860</v>
      </c>
      <c r="B418" s="7">
        <v>20</v>
      </c>
      <c r="C418" s="7">
        <v>2</v>
      </c>
      <c r="D418" s="7">
        <v>132668.234</v>
      </c>
      <c r="E418" s="7">
        <v>0</v>
      </c>
      <c r="F418" s="7">
        <v>2653364.69</v>
      </c>
      <c r="G418" s="7">
        <v>0</v>
      </c>
      <c r="H418" s="7">
        <v>0</v>
      </c>
      <c r="I418" s="7">
        <v>2653364.69</v>
      </c>
      <c r="J418" s="7">
        <v>132000</v>
      </c>
      <c r="K418" s="7">
        <v>0</v>
      </c>
      <c r="L418" s="7">
        <v>504139.31</v>
      </c>
      <c r="M418" s="7">
        <v>3289504</v>
      </c>
      <c r="N418" s="7">
        <v>192860.5</v>
      </c>
      <c r="O418" s="7">
        <v>2460504.19</v>
      </c>
      <c r="P418" s="7">
        <v>756890</v>
      </c>
      <c r="Q418" s="7">
        <v>1703614.19</v>
      </c>
      <c r="R418" s="7">
        <v>0</v>
      </c>
      <c r="S418" s="7">
        <v>41</v>
      </c>
      <c r="T418" s="7">
        <v>0</v>
      </c>
      <c r="U418" s="7">
        <v>0</v>
      </c>
      <c r="V418" s="9">
        <v>46189.853409826392</v>
      </c>
    </row>
    <row r="419" spans="1:22" x14ac:dyDescent="0.2">
      <c r="A419" s="8">
        <v>45861</v>
      </c>
      <c r="B419" s="7">
        <v>32</v>
      </c>
      <c r="C419" s="7">
        <v>2.2999999999999998</v>
      </c>
      <c r="D419" s="7">
        <v>138288.34</v>
      </c>
      <c r="E419" s="7">
        <v>0</v>
      </c>
      <c r="F419" s="7">
        <v>4477537.8099999996</v>
      </c>
      <c r="G419" s="7">
        <v>-52310.91</v>
      </c>
      <c r="H419" s="7">
        <v>0</v>
      </c>
      <c r="I419" s="7">
        <v>4425226.9000000004</v>
      </c>
      <c r="J419" s="7">
        <v>142000</v>
      </c>
      <c r="K419" s="7">
        <v>0</v>
      </c>
      <c r="L419" s="7">
        <v>815523.1</v>
      </c>
      <c r="M419" s="7">
        <v>5382750</v>
      </c>
      <c r="N419" s="7">
        <v>0</v>
      </c>
      <c r="O419" s="7">
        <v>4425226.9000000004</v>
      </c>
      <c r="P419" s="7">
        <v>1509568</v>
      </c>
      <c r="Q419" s="7">
        <v>2915658.9</v>
      </c>
      <c r="R419" s="7">
        <v>0</v>
      </c>
      <c r="S419" s="7">
        <v>74</v>
      </c>
      <c r="T419" s="7">
        <v>0</v>
      </c>
      <c r="U419" s="7">
        <v>0</v>
      </c>
      <c r="V419" s="9">
        <v>46189.853409826392</v>
      </c>
    </row>
    <row r="420" spans="1:22" x14ac:dyDescent="0.2">
      <c r="A420" s="8">
        <v>45862</v>
      </c>
      <c r="B420" s="7">
        <v>28</v>
      </c>
      <c r="C420" s="7">
        <v>2.2000000000000002</v>
      </c>
      <c r="D420" s="7">
        <v>152092.80300000001</v>
      </c>
      <c r="E420" s="7">
        <v>-1</v>
      </c>
      <c r="F420" s="7">
        <v>4350195.12</v>
      </c>
      <c r="G420" s="7">
        <v>-41596.629999999997</v>
      </c>
      <c r="H420" s="7">
        <v>-50000</v>
      </c>
      <c r="I420" s="7">
        <v>4258598.49</v>
      </c>
      <c r="J420" s="7">
        <v>150000</v>
      </c>
      <c r="K420" s="7">
        <v>0</v>
      </c>
      <c r="L420" s="7">
        <v>758403.51</v>
      </c>
      <c r="M420" s="7">
        <v>5167002</v>
      </c>
      <c r="N420" s="7">
        <v>1.84</v>
      </c>
      <c r="O420" s="7">
        <v>4258596.6500000004</v>
      </c>
      <c r="P420" s="7">
        <v>1591709</v>
      </c>
      <c r="Q420" s="7">
        <v>2666887.65</v>
      </c>
      <c r="R420" s="7">
        <v>0</v>
      </c>
      <c r="S420" s="7">
        <v>61</v>
      </c>
      <c r="T420" s="7">
        <v>0</v>
      </c>
      <c r="U420" s="7">
        <v>0</v>
      </c>
      <c r="V420" s="9">
        <v>46189.853409826392</v>
      </c>
    </row>
    <row r="421" spans="1:22" x14ac:dyDescent="0.2">
      <c r="A421" s="8">
        <v>45863</v>
      </c>
      <c r="B421" s="7">
        <v>17</v>
      </c>
      <c r="C421" s="7">
        <v>2.2000000000000002</v>
      </c>
      <c r="D421" s="7">
        <v>145371.231</v>
      </c>
      <c r="E421" s="7">
        <v>-1</v>
      </c>
      <c r="F421" s="7">
        <v>2549462.1800000002</v>
      </c>
      <c r="G421" s="7">
        <v>-2521</v>
      </c>
      <c r="H421" s="7">
        <v>-26050.42</v>
      </c>
      <c r="I421" s="7">
        <v>2520890.7599999998</v>
      </c>
      <c r="J421" s="7">
        <v>115500</v>
      </c>
      <c r="K421" s="7">
        <v>0</v>
      </c>
      <c r="L421" s="7">
        <v>456359.24</v>
      </c>
      <c r="M421" s="7">
        <v>3092750</v>
      </c>
      <c r="N421" s="7">
        <v>0</v>
      </c>
      <c r="O421" s="7">
        <v>2520890.7599999998</v>
      </c>
      <c r="P421" s="7">
        <v>860762</v>
      </c>
      <c r="Q421" s="7">
        <v>1660128.76</v>
      </c>
      <c r="R421" s="7">
        <v>0</v>
      </c>
      <c r="S421" s="7">
        <v>38</v>
      </c>
      <c r="T421" s="7">
        <v>0</v>
      </c>
      <c r="U421" s="7">
        <v>0</v>
      </c>
      <c r="V421" s="9">
        <v>46189.853409826392</v>
      </c>
    </row>
    <row r="422" spans="1:22" x14ac:dyDescent="0.2">
      <c r="A422" s="8">
        <v>45864</v>
      </c>
      <c r="B422" s="7">
        <v>14</v>
      </c>
      <c r="C422" s="7">
        <v>2.1</v>
      </c>
      <c r="D422" s="7">
        <v>119087.63499999999</v>
      </c>
      <c r="E422" s="7">
        <v>0</v>
      </c>
      <c r="F422" s="7">
        <v>1667226.9</v>
      </c>
      <c r="G422" s="7">
        <v>0</v>
      </c>
      <c r="H422" s="7">
        <v>0</v>
      </c>
      <c r="I422" s="7">
        <v>1667226.9</v>
      </c>
      <c r="J422" s="7">
        <v>36000</v>
      </c>
      <c r="K422" s="7">
        <v>0</v>
      </c>
      <c r="L422" s="7">
        <v>297773.09999999998</v>
      </c>
      <c r="M422" s="7">
        <v>2001000</v>
      </c>
      <c r="N422" s="7">
        <v>100000</v>
      </c>
      <c r="O422" s="7">
        <v>1567226.9</v>
      </c>
      <c r="P422" s="7">
        <v>437777</v>
      </c>
      <c r="Q422" s="7">
        <v>1129449.8999999999</v>
      </c>
      <c r="R422" s="7">
        <v>0</v>
      </c>
      <c r="S422" s="7">
        <v>29</v>
      </c>
      <c r="T422" s="7">
        <v>0</v>
      </c>
      <c r="U422" s="7">
        <v>0</v>
      </c>
      <c r="V422" s="9">
        <v>46189.853409826392</v>
      </c>
    </row>
    <row r="423" spans="1:22" x14ac:dyDescent="0.2">
      <c r="A423" s="8">
        <v>45865</v>
      </c>
      <c r="B423" s="7">
        <v>32</v>
      </c>
      <c r="C423" s="7">
        <v>2.4</v>
      </c>
      <c r="D423" s="7">
        <v>130976.102</v>
      </c>
      <c r="E423" s="7">
        <v>0</v>
      </c>
      <c r="F423" s="7">
        <v>4191235.29</v>
      </c>
      <c r="G423" s="7">
        <v>0</v>
      </c>
      <c r="H423" s="7">
        <v>0</v>
      </c>
      <c r="I423" s="7">
        <v>4191235.29</v>
      </c>
      <c r="J423" s="7">
        <v>36000</v>
      </c>
      <c r="K423" s="7">
        <v>0</v>
      </c>
      <c r="L423" s="7">
        <v>734014.71</v>
      </c>
      <c r="M423" s="7">
        <v>4961250</v>
      </c>
      <c r="N423" s="7">
        <v>356100.84</v>
      </c>
      <c r="O423" s="7">
        <v>3835134.45</v>
      </c>
      <c r="P423" s="7">
        <v>1443980</v>
      </c>
      <c r="Q423" s="7">
        <v>2391154.4500000002</v>
      </c>
      <c r="R423" s="7">
        <v>0</v>
      </c>
      <c r="S423" s="7">
        <v>77</v>
      </c>
      <c r="T423" s="7">
        <v>0</v>
      </c>
      <c r="U423" s="7">
        <v>0</v>
      </c>
      <c r="V423" s="9">
        <v>46189.853409826392</v>
      </c>
    </row>
    <row r="424" spans="1:22" x14ac:dyDescent="0.2">
      <c r="A424" s="8">
        <v>45866</v>
      </c>
      <c r="B424" s="7">
        <v>24</v>
      </c>
      <c r="C424" s="7">
        <v>3.3</v>
      </c>
      <c r="D424" s="7">
        <v>273365.19500000001</v>
      </c>
      <c r="E424" s="7">
        <v>-2</v>
      </c>
      <c r="F424" s="7">
        <v>7068327.7000000002</v>
      </c>
      <c r="G424" s="7">
        <v>-415126.03</v>
      </c>
      <c r="H424" s="7">
        <v>-75630.25</v>
      </c>
      <c r="I424" s="7">
        <v>6577571.4199999999</v>
      </c>
      <c r="J424" s="7">
        <v>130500</v>
      </c>
      <c r="K424" s="7">
        <v>0</v>
      </c>
      <c r="L424" s="7">
        <v>1240428.58</v>
      </c>
      <c r="M424" s="7">
        <v>7948500</v>
      </c>
      <c r="N424" s="7">
        <v>0</v>
      </c>
      <c r="O424" s="7">
        <v>6577571.4199999999</v>
      </c>
      <c r="P424" s="7">
        <v>2005440</v>
      </c>
      <c r="Q424" s="7">
        <v>4572131.42</v>
      </c>
      <c r="R424" s="7">
        <v>0</v>
      </c>
      <c r="S424" s="7">
        <v>79</v>
      </c>
      <c r="T424" s="7">
        <v>0</v>
      </c>
      <c r="U424" s="7">
        <v>0</v>
      </c>
      <c r="V424" s="9">
        <v>46189.853409826392</v>
      </c>
    </row>
    <row r="425" spans="1:22" x14ac:dyDescent="0.2">
      <c r="A425" s="8">
        <v>45867</v>
      </c>
      <c r="B425" s="7">
        <v>13</v>
      </c>
      <c r="C425" s="7">
        <v>2.2000000000000002</v>
      </c>
      <c r="D425" s="7">
        <v>140084.67800000001</v>
      </c>
      <c r="E425" s="7">
        <v>0</v>
      </c>
      <c r="F425" s="7">
        <v>1838747.86</v>
      </c>
      <c r="G425" s="7">
        <v>-17647.04</v>
      </c>
      <c r="H425" s="7">
        <v>0</v>
      </c>
      <c r="I425" s="7">
        <v>1821100.82</v>
      </c>
      <c r="J425" s="7">
        <v>38000</v>
      </c>
      <c r="K425" s="7">
        <v>0</v>
      </c>
      <c r="L425" s="7">
        <v>332899.18</v>
      </c>
      <c r="M425" s="7">
        <v>2192000</v>
      </c>
      <c r="N425" s="7">
        <v>0</v>
      </c>
      <c r="O425" s="7">
        <v>1821100.82</v>
      </c>
      <c r="P425" s="7">
        <v>567626</v>
      </c>
      <c r="Q425" s="7">
        <v>1253474.82</v>
      </c>
      <c r="R425" s="7">
        <v>0</v>
      </c>
      <c r="S425" s="7">
        <v>29</v>
      </c>
      <c r="T425" s="7">
        <v>0</v>
      </c>
      <c r="U425" s="7">
        <v>0</v>
      </c>
      <c r="V425" s="9">
        <v>46189.853409826392</v>
      </c>
    </row>
    <row r="426" spans="1:22" x14ac:dyDescent="0.2">
      <c r="A426" s="8">
        <v>45868</v>
      </c>
      <c r="B426" s="7">
        <v>23</v>
      </c>
      <c r="C426" s="7">
        <v>4.3</v>
      </c>
      <c r="D426" s="7">
        <v>113226.526</v>
      </c>
      <c r="E426" s="7">
        <v>-1</v>
      </c>
      <c r="F426" s="7">
        <v>2736941.2</v>
      </c>
      <c r="G426" s="7">
        <v>-57100.84</v>
      </c>
      <c r="H426" s="7">
        <v>-75630.25</v>
      </c>
      <c r="I426" s="7">
        <v>2604210.11</v>
      </c>
      <c r="J426" s="7">
        <v>68500</v>
      </c>
      <c r="K426" s="7">
        <v>0</v>
      </c>
      <c r="L426" s="7">
        <v>459079.89</v>
      </c>
      <c r="M426" s="7">
        <v>3131790</v>
      </c>
      <c r="N426" s="7">
        <v>0</v>
      </c>
      <c r="O426" s="7">
        <v>2604210.11</v>
      </c>
      <c r="P426" s="7">
        <v>851254</v>
      </c>
      <c r="Q426" s="7">
        <v>1752956.11</v>
      </c>
      <c r="R426" s="7">
        <v>0</v>
      </c>
      <c r="S426" s="7">
        <v>98</v>
      </c>
      <c r="T426" s="7">
        <v>0</v>
      </c>
      <c r="U426" s="7">
        <v>0</v>
      </c>
      <c r="V426" s="9">
        <v>46189.853409826392</v>
      </c>
    </row>
    <row r="427" spans="1:22" x14ac:dyDescent="0.2">
      <c r="A427" s="8">
        <v>45869</v>
      </c>
      <c r="B427" s="7">
        <v>24</v>
      </c>
      <c r="C427" s="7">
        <v>2.9</v>
      </c>
      <c r="D427" s="7">
        <v>194170.20199999999</v>
      </c>
      <c r="E427" s="7">
        <v>-3</v>
      </c>
      <c r="F427" s="7">
        <v>5097899.9800000004</v>
      </c>
      <c r="G427" s="7">
        <v>-34663.839999999997</v>
      </c>
      <c r="H427" s="7">
        <v>-359663.86</v>
      </c>
      <c r="I427" s="7">
        <v>4703572.28</v>
      </c>
      <c r="J427" s="7">
        <v>5500</v>
      </c>
      <c r="K427" s="7">
        <v>0</v>
      </c>
      <c r="L427" s="7">
        <v>817678.72</v>
      </c>
      <c r="M427" s="7">
        <v>5526751</v>
      </c>
      <c r="N427" s="7">
        <v>55000</v>
      </c>
      <c r="O427" s="7">
        <v>4648572.28</v>
      </c>
      <c r="P427" s="7">
        <v>1325451.56</v>
      </c>
      <c r="Q427" s="7">
        <v>3323120.72</v>
      </c>
      <c r="R427" s="7">
        <v>0</v>
      </c>
      <c r="S427" s="7">
        <v>70</v>
      </c>
      <c r="T427" s="7">
        <v>0</v>
      </c>
      <c r="U427" s="7">
        <v>0</v>
      </c>
      <c r="V427" s="9">
        <v>46189.853409826392</v>
      </c>
    </row>
    <row r="428" spans="1:22" x14ac:dyDescent="0.2">
      <c r="A428" s="8">
        <v>45870</v>
      </c>
      <c r="B428" s="7">
        <v>16</v>
      </c>
      <c r="C428" s="7">
        <v>1.8</v>
      </c>
      <c r="D428" s="7">
        <v>94486.346000000005</v>
      </c>
      <c r="E428" s="7">
        <v>-1</v>
      </c>
      <c r="F428" s="7">
        <v>1569428.57</v>
      </c>
      <c r="G428" s="7">
        <v>-57647.03</v>
      </c>
      <c r="H428" s="7">
        <v>223.53</v>
      </c>
      <c r="I428" s="7">
        <v>1512005.07</v>
      </c>
      <c r="J428" s="7">
        <v>56000</v>
      </c>
      <c r="K428" s="7">
        <v>0</v>
      </c>
      <c r="L428" s="7">
        <v>268394.93</v>
      </c>
      <c r="M428" s="7">
        <v>1836400</v>
      </c>
      <c r="N428" s="7">
        <v>0</v>
      </c>
      <c r="O428" s="7">
        <v>1510605.07</v>
      </c>
      <c r="P428" s="7">
        <v>540015</v>
      </c>
      <c r="Q428" s="7">
        <v>970590.07</v>
      </c>
      <c r="R428" s="7">
        <v>0</v>
      </c>
      <c r="S428" s="7">
        <v>27</v>
      </c>
      <c r="T428" s="7">
        <v>0</v>
      </c>
      <c r="U428" s="7">
        <v>0</v>
      </c>
      <c r="V428" s="9">
        <v>46189.853409826392</v>
      </c>
    </row>
    <row r="429" spans="1:22" x14ac:dyDescent="0.2">
      <c r="A429" s="8">
        <v>45871</v>
      </c>
      <c r="B429" s="7">
        <v>24</v>
      </c>
      <c r="C429" s="7">
        <v>2</v>
      </c>
      <c r="D429" s="7">
        <v>108543.41899999999</v>
      </c>
      <c r="E429" s="7">
        <v>-2</v>
      </c>
      <c r="F429" s="7">
        <v>2663865.59</v>
      </c>
      <c r="G429" s="7">
        <v>0</v>
      </c>
      <c r="H429" s="7">
        <v>-105042.02</v>
      </c>
      <c r="I429" s="7">
        <v>2558823.5699999998</v>
      </c>
      <c r="J429" s="7">
        <v>41500</v>
      </c>
      <c r="K429" s="7">
        <v>0</v>
      </c>
      <c r="L429" s="7">
        <v>486176.43</v>
      </c>
      <c r="M429" s="7">
        <v>3086500</v>
      </c>
      <c r="N429" s="7">
        <v>0</v>
      </c>
      <c r="O429" s="7">
        <v>2558823.5699999998</v>
      </c>
      <c r="P429" s="7">
        <v>711704</v>
      </c>
      <c r="Q429" s="7">
        <v>1847119.57</v>
      </c>
      <c r="R429" s="7">
        <v>0</v>
      </c>
      <c r="S429" s="7">
        <v>48</v>
      </c>
      <c r="T429" s="7">
        <v>0</v>
      </c>
      <c r="U429" s="7">
        <v>0</v>
      </c>
      <c r="V429" s="9">
        <v>46189.853409826392</v>
      </c>
    </row>
    <row r="430" spans="1:22" x14ac:dyDescent="0.2">
      <c r="A430" s="8">
        <v>45872</v>
      </c>
      <c r="B430" s="7">
        <v>7</v>
      </c>
      <c r="C430" s="7">
        <v>2</v>
      </c>
      <c r="D430" s="7">
        <v>116418.96799999999</v>
      </c>
      <c r="E430" s="7">
        <v>0</v>
      </c>
      <c r="F430" s="7">
        <v>814932.78</v>
      </c>
      <c r="G430" s="7">
        <v>0</v>
      </c>
      <c r="H430" s="7">
        <v>0</v>
      </c>
      <c r="I430" s="7">
        <v>814932.78</v>
      </c>
      <c r="J430" s="7">
        <v>9000</v>
      </c>
      <c r="K430" s="7">
        <v>0</v>
      </c>
      <c r="L430" s="7">
        <v>120067.22</v>
      </c>
      <c r="M430" s="7">
        <v>944000</v>
      </c>
      <c r="N430" s="7">
        <v>0</v>
      </c>
      <c r="O430" s="7">
        <v>814932.78</v>
      </c>
      <c r="P430" s="7">
        <v>315274</v>
      </c>
      <c r="Q430" s="7">
        <v>499658.78</v>
      </c>
      <c r="R430" s="7">
        <v>0</v>
      </c>
      <c r="S430" s="7">
        <v>14</v>
      </c>
      <c r="T430" s="7">
        <v>0</v>
      </c>
      <c r="U430" s="7">
        <v>0</v>
      </c>
      <c r="V430" s="9">
        <v>46189.853409826392</v>
      </c>
    </row>
    <row r="431" spans="1:22" x14ac:dyDescent="0.2">
      <c r="A431" s="8">
        <v>45873</v>
      </c>
      <c r="B431" s="7">
        <v>11</v>
      </c>
      <c r="C431" s="7">
        <v>1.9</v>
      </c>
      <c r="D431" s="7">
        <v>133766.23300000001</v>
      </c>
      <c r="E431" s="7">
        <v>-1</v>
      </c>
      <c r="F431" s="7">
        <v>1505042.01</v>
      </c>
      <c r="G431" s="7">
        <v>-8403.36</v>
      </c>
      <c r="H431" s="7">
        <v>-21848.74</v>
      </c>
      <c r="I431" s="7">
        <v>1474789.91</v>
      </c>
      <c r="J431" s="7">
        <v>50500</v>
      </c>
      <c r="K431" s="7">
        <v>0</v>
      </c>
      <c r="L431" s="7">
        <v>280210.09000000003</v>
      </c>
      <c r="M431" s="7">
        <v>1805500</v>
      </c>
      <c r="N431" s="7">
        <v>0</v>
      </c>
      <c r="O431" s="7">
        <v>1474789.91</v>
      </c>
      <c r="P431" s="7">
        <v>459542</v>
      </c>
      <c r="Q431" s="7">
        <v>1015247.91</v>
      </c>
      <c r="R431" s="7">
        <v>0</v>
      </c>
      <c r="S431" s="7">
        <v>21</v>
      </c>
      <c r="T431" s="7">
        <v>0</v>
      </c>
      <c r="U431" s="7">
        <v>0</v>
      </c>
      <c r="V431" s="9">
        <v>46189.853409826392</v>
      </c>
    </row>
    <row r="432" spans="1:22" x14ac:dyDescent="0.2">
      <c r="A432" s="8">
        <v>45874</v>
      </c>
      <c r="B432" s="7">
        <v>23</v>
      </c>
      <c r="C432" s="7">
        <v>2.9</v>
      </c>
      <c r="D432" s="7">
        <v>170272.56200000001</v>
      </c>
      <c r="E432" s="7">
        <v>0</v>
      </c>
      <c r="F432" s="7">
        <v>3979294.15</v>
      </c>
      <c r="G432" s="7">
        <v>-63025.21</v>
      </c>
      <c r="H432" s="7">
        <v>0</v>
      </c>
      <c r="I432" s="7">
        <v>3916268.94</v>
      </c>
      <c r="J432" s="7">
        <v>61500</v>
      </c>
      <c r="K432" s="7">
        <v>0</v>
      </c>
      <c r="L432" s="7">
        <v>716731.06</v>
      </c>
      <c r="M432" s="7">
        <v>4694500</v>
      </c>
      <c r="N432" s="7">
        <v>0</v>
      </c>
      <c r="O432" s="7">
        <v>3916268.94</v>
      </c>
      <c r="P432" s="7">
        <v>1210871</v>
      </c>
      <c r="Q432" s="7">
        <v>2705397.94</v>
      </c>
      <c r="R432" s="7">
        <v>0</v>
      </c>
      <c r="S432" s="7">
        <v>66</v>
      </c>
      <c r="T432" s="7">
        <v>0</v>
      </c>
      <c r="U432" s="7">
        <v>0</v>
      </c>
      <c r="V432" s="9">
        <v>46189.853409826392</v>
      </c>
    </row>
    <row r="433" spans="1:22" x14ac:dyDescent="0.2">
      <c r="A433" s="8">
        <v>45875</v>
      </c>
      <c r="B433" s="7">
        <v>22</v>
      </c>
      <c r="C433" s="7">
        <v>1.9</v>
      </c>
      <c r="D433" s="7">
        <v>161178.38</v>
      </c>
      <c r="E433" s="7">
        <v>-82</v>
      </c>
      <c r="F433" s="7">
        <v>6198025.21</v>
      </c>
      <c r="G433" s="7">
        <v>-74789.91</v>
      </c>
      <c r="H433" s="7">
        <v>-2571176.48</v>
      </c>
      <c r="I433" s="7">
        <v>3552058.82</v>
      </c>
      <c r="J433" s="7">
        <v>68000</v>
      </c>
      <c r="K433" s="7">
        <v>0</v>
      </c>
      <c r="L433" s="7">
        <v>649241.18000000005</v>
      </c>
      <c r="M433" s="7">
        <v>4269300</v>
      </c>
      <c r="N433" s="7">
        <v>67226.89</v>
      </c>
      <c r="O433" s="7">
        <v>3484831.93</v>
      </c>
      <c r="P433" s="7">
        <v>897392</v>
      </c>
      <c r="Q433" s="7">
        <v>2587439.9300000002</v>
      </c>
      <c r="R433" s="7">
        <v>0</v>
      </c>
      <c r="S433" s="7">
        <v>-6</v>
      </c>
      <c r="T433" s="7">
        <v>0</v>
      </c>
      <c r="U433" s="7">
        <v>0</v>
      </c>
      <c r="V433" s="9">
        <v>46189.853409826392</v>
      </c>
    </row>
    <row r="434" spans="1:22" x14ac:dyDescent="0.2">
      <c r="A434" s="8">
        <v>45876</v>
      </c>
      <c r="B434" s="7">
        <v>8</v>
      </c>
      <c r="C434" s="7">
        <v>1.9</v>
      </c>
      <c r="D434" s="7">
        <v>63077.731</v>
      </c>
      <c r="E434" s="7">
        <v>-2</v>
      </c>
      <c r="F434" s="7">
        <v>618067.23</v>
      </c>
      <c r="G434" s="7">
        <v>0</v>
      </c>
      <c r="H434" s="7">
        <v>-323529.40999999997</v>
      </c>
      <c r="I434" s="7">
        <v>294537.82</v>
      </c>
      <c r="J434" s="7">
        <v>41500</v>
      </c>
      <c r="K434" s="7">
        <v>0</v>
      </c>
      <c r="L434" s="7">
        <v>55962.18</v>
      </c>
      <c r="M434" s="7">
        <v>392000</v>
      </c>
      <c r="N434" s="7">
        <v>4621.8500000000004</v>
      </c>
      <c r="O434" s="7">
        <v>289915.96999999997</v>
      </c>
      <c r="P434" s="7">
        <v>79523</v>
      </c>
      <c r="Q434" s="7">
        <v>210392.97</v>
      </c>
      <c r="R434" s="7">
        <v>0</v>
      </c>
      <c r="S434" s="7">
        <v>15</v>
      </c>
      <c r="T434" s="7">
        <v>0</v>
      </c>
      <c r="U434" s="7">
        <v>0</v>
      </c>
      <c r="V434" s="9">
        <v>46189.853409826392</v>
      </c>
    </row>
    <row r="435" spans="1:22" x14ac:dyDescent="0.2">
      <c r="A435" s="8">
        <v>45877</v>
      </c>
      <c r="B435" s="7">
        <v>16</v>
      </c>
      <c r="C435" s="7">
        <v>2.6</v>
      </c>
      <c r="D435" s="7">
        <v>170412.29</v>
      </c>
      <c r="E435" s="7">
        <v>0</v>
      </c>
      <c r="F435" s="7">
        <v>2726596.65</v>
      </c>
      <c r="G435" s="7">
        <v>0</v>
      </c>
      <c r="H435" s="7">
        <v>0</v>
      </c>
      <c r="I435" s="7">
        <v>2726596.65</v>
      </c>
      <c r="J435" s="7">
        <v>41500</v>
      </c>
      <c r="K435" s="7">
        <v>0</v>
      </c>
      <c r="L435" s="7">
        <v>511403.35</v>
      </c>
      <c r="M435" s="7">
        <v>3279500</v>
      </c>
      <c r="N435" s="7">
        <v>0</v>
      </c>
      <c r="O435" s="7">
        <v>2726596.65</v>
      </c>
      <c r="P435" s="7">
        <v>900195</v>
      </c>
      <c r="Q435" s="7">
        <v>1826401.65</v>
      </c>
      <c r="R435" s="7">
        <v>155000</v>
      </c>
      <c r="S435" s="7">
        <v>42</v>
      </c>
      <c r="T435" s="7">
        <v>0</v>
      </c>
      <c r="U435" s="7">
        <v>155000</v>
      </c>
      <c r="V435" s="9">
        <v>46189.853409826392</v>
      </c>
    </row>
    <row r="436" spans="1:22" x14ac:dyDescent="0.2">
      <c r="A436" s="8">
        <v>45878</v>
      </c>
      <c r="B436" s="7">
        <v>11</v>
      </c>
      <c r="C436" s="7">
        <v>2.5</v>
      </c>
      <c r="D436" s="7">
        <v>129984.799</v>
      </c>
      <c r="E436" s="7">
        <v>-1</v>
      </c>
      <c r="F436" s="7">
        <v>1429832.79</v>
      </c>
      <c r="G436" s="7">
        <v>0</v>
      </c>
      <c r="H436" s="7">
        <v>0</v>
      </c>
      <c r="I436" s="7">
        <v>1429832.79</v>
      </c>
      <c r="J436" s="7">
        <v>32500</v>
      </c>
      <c r="K436" s="7">
        <v>0</v>
      </c>
      <c r="L436" s="7">
        <v>271668.21000000002</v>
      </c>
      <c r="M436" s="7">
        <v>1734001</v>
      </c>
      <c r="N436" s="7">
        <v>0</v>
      </c>
      <c r="O436" s="7">
        <v>1429832.79</v>
      </c>
      <c r="P436" s="7">
        <v>429080</v>
      </c>
      <c r="Q436" s="7">
        <v>1000752.79</v>
      </c>
      <c r="R436" s="7">
        <v>45000</v>
      </c>
      <c r="S436" s="7">
        <v>28</v>
      </c>
      <c r="T436" s="7">
        <v>0</v>
      </c>
      <c r="U436" s="7">
        <v>45000</v>
      </c>
      <c r="V436" s="9">
        <v>46189.853409826392</v>
      </c>
    </row>
    <row r="437" spans="1:22" x14ac:dyDescent="0.2">
      <c r="A437" s="8">
        <v>45879</v>
      </c>
      <c r="B437" s="7">
        <v>11</v>
      </c>
      <c r="C437" s="7">
        <v>1.5</v>
      </c>
      <c r="D437" s="7">
        <v>87929.718999999997</v>
      </c>
      <c r="E437" s="7">
        <v>0</v>
      </c>
      <c r="F437" s="7">
        <v>1037226.91</v>
      </c>
      <c r="G437" s="7">
        <v>-70000</v>
      </c>
      <c r="H437" s="7">
        <v>0</v>
      </c>
      <c r="I437" s="7">
        <v>967226.91</v>
      </c>
      <c r="J437" s="7">
        <v>23500</v>
      </c>
      <c r="K437" s="7">
        <v>0</v>
      </c>
      <c r="L437" s="7">
        <v>183773.09</v>
      </c>
      <c r="M437" s="7">
        <v>1174500</v>
      </c>
      <c r="N437" s="7">
        <v>0</v>
      </c>
      <c r="O437" s="7">
        <v>967226.91</v>
      </c>
      <c r="P437" s="7">
        <v>251400</v>
      </c>
      <c r="Q437" s="7">
        <v>715826.91</v>
      </c>
      <c r="R437" s="7">
        <v>0</v>
      </c>
      <c r="S437" s="7">
        <v>16</v>
      </c>
      <c r="T437" s="7">
        <v>0</v>
      </c>
      <c r="U437" s="7">
        <v>0</v>
      </c>
      <c r="V437" s="9">
        <v>46189.853409826392</v>
      </c>
    </row>
    <row r="438" spans="1:22" x14ac:dyDescent="0.2">
      <c r="A438" s="8">
        <v>45880</v>
      </c>
      <c r="B438" s="7">
        <v>21</v>
      </c>
      <c r="C438" s="7">
        <v>2.1</v>
      </c>
      <c r="D438" s="7">
        <v>103543.09699999999</v>
      </c>
      <c r="E438" s="7">
        <v>0</v>
      </c>
      <c r="F438" s="7">
        <v>2199615.13</v>
      </c>
      <c r="G438" s="7">
        <v>-25210.080000000002</v>
      </c>
      <c r="H438" s="7">
        <v>0</v>
      </c>
      <c r="I438" s="7">
        <v>2174405.0499999998</v>
      </c>
      <c r="J438" s="7">
        <v>97000</v>
      </c>
      <c r="K438" s="7">
        <v>0</v>
      </c>
      <c r="L438" s="7">
        <v>391096.95</v>
      </c>
      <c r="M438" s="7">
        <v>2662502</v>
      </c>
      <c r="N438" s="7">
        <v>32774.79</v>
      </c>
      <c r="O438" s="7">
        <v>2141630.2599999998</v>
      </c>
      <c r="P438" s="7">
        <v>673089</v>
      </c>
      <c r="Q438" s="7">
        <v>1468541.26</v>
      </c>
      <c r="R438" s="7">
        <v>0</v>
      </c>
      <c r="S438" s="7">
        <v>44</v>
      </c>
      <c r="T438" s="7">
        <v>0</v>
      </c>
      <c r="U438" s="7">
        <v>0</v>
      </c>
      <c r="V438" s="9">
        <v>46189.853409826392</v>
      </c>
    </row>
    <row r="439" spans="1:22" x14ac:dyDescent="0.2">
      <c r="A439" s="8">
        <v>45881</v>
      </c>
      <c r="B439" s="7">
        <v>21</v>
      </c>
      <c r="C439" s="7">
        <v>3.2</v>
      </c>
      <c r="D439" s="7">
        <v>155622.29</v>
      </c>
      <c r="E439" s="7">
        <v>0</v>
      </c>
      <c r="F439" s="7">
        <v>3726858.02</v>
      </c>
      <c r="G439" s="7">
        <v>-458789.93</v>
      </c>
      <c r="H439" s="7">
        <v>0</v>
      </c>
      <c r="I439" s="7">
        <v>3268068.09</v>
      </c>
      <c r="J439" s="7">
        <v>50500</v>
      </c>
      <c r="K439" s="7">
        <v>0</v>
      </c>
      <c r="L439" s="7">
        <v>604972.91</v>
      </c>
      <c r="M439" s="7">
        <v>3923541</v>
      </c>
      <c r="N439" s="7">
        <v>0.84</v>
      </c>
      <c r="O439" s="7">
        <v>3268067.25</v>
      </c>
      <c r="P439" s="7">
        <v>989380</v>
      </c>
      <c r="Q439" s="7">
        <v>2278687.25</v>
      </c>
      <c r="R439" s="7">
        <v>0</v>
      </c>
      <c r="S439" s="7">
        <v>67</v>
      </c>
      <c r="T439" s="7">
        <v>0</v>
      </c>
      <c r="U439" s="7">
        <v>0</v>
      </c>
      <c r="V439" s="9">
        <v>46189.853409826392</v>
      </c>
    </row>
    <row r="440" spans="1:22" x14ac:dyDescent="0.2">
      <c r="A440" s="8">
        <v>45882</v>
      </c>
      <c r="B440" s="7">
        <v>11</v>
      </c>
      <c r="C440" s="7">
        <v>2.2999999999999998</v>
      </c>
      <c r="D440" s="7">
        <v>102215.433</v>
      </c>
      <c r="E440" s="7">
        <v>0</v>
      </c>
      <c r="F440" s="7">
        <v>1152100.8600000001</v>
      </c>
      <c r="G440" s="7">
        <v>0</v>
      </c>
      <c r="H440" s="7">
        <v>0</v>
      </c>
      <c r="I440" s="7">
        <v>1152100.8600000001</v>
      </c>
      <c r="J440" s="7">
        <v>91500</v>
      </c>
      <c r="K440" s="7">
        <v>0</v>
      </c>
      <c r="L440" s="7">
        <v>218899.14</v>
      </c>
      <c r="M440" s="7">
        <v>1462500</v>
      </c>
      <c r="N440" s="7">
        <v>0</v>
      </c>
      <c r="O440" s="7">
        <v>1152100.8600000001</v>
      </c>
      <c r="P440" s="7">
        <v>349922</v>
      </c>
      <c r="Q440" s="7">
        <v>802178.86</v>
      </c>
      <c r="R440" s="7">
        <v>0</v>
      </c>
      <c r="S440" s="7">
        <v>27</v>
      </c>
      <c r="T440" s="7">
        <v>0</v>
      </c>
      <c r="U440" s="7">
        <v>0</v>
      </c>
      <c r="V440" s="9">
        <v>46189.853409826392</v>
      </c>
    </row>
    <row r="441" spans="1:22" x14ac:dyDescent="0.2">
      <c r="A441" s="8">
        <v>45883</v>
      </c>
      <c r="B441" s="7">
        <v>16</v>
      </c>
      <c r="C441" s="7">
        <v>2.5</v>
      </c>
      <c r="D441" s="7">
        <v>192017.33100000001</v>
      </c>
      <c r="E441" s="7">
        <v>-32</v>
      </c>
      <c r="F441" s="7">
        <v>4741605.03</v>
      </c>
      <c r="G441" s="7">
        <v>-569327.72</v>
      </c>
      <c r="H441" s="7">
        <v>-1079831.94</v>
      </c>
      <c r="I441" s="7">
        <v>3092445.37</v>
      </c>
      <c r="J441" s="7">
        <v>18000</v>
      </c>
      <c r="K441" s="7">
        <v>0</v>
      </c>
      <c r="L441" s="7">
        <v>582054.63</v>
      </c>
      <c r="M441" s="7">
        <v>3692500</v>
      </c>
      <c r="N441" s="7">
        <v>0</v>
      </c>
      <c r="O441" s="7">
        <v>3092445.37</v>
      </c>
      <c r="P441" s="7">
        <v>979792</v>
      </c>
      <c r="Q441" s="7">
        <v>2112653.37</v>
      </c>
      <c r="R441" s="7">
        <v>0</v>
      </c>
      <c r="S441" s="7">
        <v>42</v>
      </c>
      <c r="T441" s="7">
        <v>0</v>
      </c>
      <c r="U441" s="7">
        <v>0</v>
      </c>
      <c r="V441" s="9">
        <v>46189.853409826392</v>
      </c>
    </row>
    <row r="442" spans="1:22" x14ac:dyDescent="0.2">
      <c r="A442" s="8">
        <v>45884</v>
      </c>
      <c r="B442" s="7">
        <v>13</v>
      </c>
      <c r="C442" s="7">
        <v>3.1</v>
      </c>
      <c r="D442" s="7">
        <v>150006.465</v>
      </c>
      <c r="E442" s="7">
        <v>-3</v>
      </c>
      <c r="F442" s="7">
        <v>2004705.9</v>
      </c>
      <c r="G442" s="7">
        <v>0</v>
      </c>
      <c r="H442" s="7">
        <v>-126050.42</v>
      </c>
      <c r="I442" s="7">
        <v>1878655.48</v>
      </c>
      <c r="J442" s="7">
        <v>36000</v>
      </c>
      <c r="K442" s="7">
        <v>0</v>
      </c>
      <c r="L442" s="7">
        <v>356944.52</v>
      </c>
      <c r="M442" s="7">
        <v>2271600</v>
      </c>
      <c r="N442" s="7">
        <v>0</v>
      </c>
      <c r="O442" s="7">
        <v>1878655.48</v>
      </c>
      <c r="P442" s="7">
        <v>488037</v>
      </c>
      <c r="Q442" s="7">
        <v>1390618.48</v>
      </c>
      <c r="R442" s="7">
        <v>0</v>
      </c>
      <c r="S442" s="7">
        <v>38</v>
      </c>
      <c r="T442" s="7">
        <v>0</v>
      </c>
      <c r="U442" s="7">
        <v>0</v>
      </c>
      <c r="V442" s="9">
        <v>46189.853409826392</v>
      </c>
    </row>
    <row r="443" spans="1:22" x14ac:dyDescent="0.2">
      <c r="A443" s="8">
        <v>45885</v>
      </c>
      <c r="B443" s="7">
        <v>23</v>
      </c>
      <c r="C443" s="7">
        <v>2.4</v>
      </c>
      <c r="D443" s="7">
        <v>183306.905</v>
      </c>
      <c r="E443" s="7">
        <v>0</v>
      </c>
      <c r="F443" s="7">
        <v>4216058.83</v>
      </c>
      <c r="G443" s="7">
        <v>0</v>
      </c>
      <c r="H443" s="7">
        <v>0</v>
      </c>
      <c r="I443" s="7">
        <v>4216058.83</v>
      </c>
      <c r="J443" s="7">
        <v>63000</v>
      </c>
      <c r="K443" s="7">
        <v>0</v>
      </c>
      <c r="L443" s="7">
        <v>787941.17</v>
      </c>
      <c r="M443" s="7">
        <v>5067000</v>
      </c>
      <c r="N443" s="7">
        <v>252100.84</v>
      </c>
      <c r="O443" s="7">
        <v>3963957.99</v>
      </c>
      <c r="P443" s="7">
        <v>1459485</v>
      </c>
      <c r="Q443" s="7">
        <v>2504472.9900000002</v>
      </c>
      <c r="R443" s="7">
        <v>0</v>
      </c>
      <c r="S443" s="7">
        <v>55</v>
      </c>
      <c r="T443" s="7">
        <v>0</v>
      </c>
      <c r="U443" s="7">
        <v>0</v>
      </c>
      <c r="V443" s="9">
        <v>46189.853409826392</v>
      </c>
    </row>
    <row r="444" spans="1:22" x14ac:dyDescent="0.2">
      <c r="A444" s="8">
        <v>45886</v>
      </c>
      <c r="B444" s="7">
        <v>7</v>
      </c>
      <c r="C444" s="7">
        <v>2.9</v>
      </c>
      <c r="D444" s="7">
        <v>182334.935</v>
      </c>
      <c r="E444" s="7">
        <v>-3</v>
      </c>
      <c r="F444" s="7">
        <v>1654495.81</v>
      </c>
      <c r="G444" s="7">
        <v>0</v>
      </c>
      <c r="H444" s="7">
        <v>-378151.26</v>
      </c>
      <c r="I444" s="7">
        <v>1276344.55</v>
      </c>
      <c r="J444" s="7">
        <v>14500</v>
      </c>
      <c r="K444" s="7">
        <v>0</v>
      </c>
      <c r="L444" s="7">
        <v>230155.45</v>
      </c>
      <c r="M444" s="7">
        <v>1521000</v>
      </c>
      <c r="N444" s="7">
        <v>0</v>
      </c>
      <c r="O444" s="7">
        <v>1276344.55</v>
      </c>
      <c r="P444" s="7">
        <v>265130</v>
      </c>
      <c r="Q444" s="7">
        <v>1011214.55</v>
      </c>
      <c r="R444" s="7">
        <v>0</v>
      </c>
      <c r="S444" s="7">
        <v>20</v>
      </c>
      <c r="T444" s="7">
        <v>0</v>
      </c>
      <c r="U444" s="7">
        <v>0</v>
      </c>
      <c r="V444" s="9">
        <v>46189.853409826392</v>
      </c>
    </row>
    <row r="445" spans="1:22" x14ac:dyDescent="0.2">
      <c r="A445" s="8">
        <v>45887</v>
      </c>
      <c r="B445" s="7">
        <v>8</v>
      </c>
      <c r="C445" s="7">
        <v>1.6</v>
      </c>
      <c r="D445" s="7">
        <v>95758.403000000006</v>
      </c>
      <c r="E445" s="7">
        <v>0</v>
      </c>
      <c r="F445" s="7">
        <v>766067.23</v>
      </c>
      <c r="G445" s="7">
        <v>0</v>
      </c>
      <c r="H445" s="7">
        <v>0</v>
      </c>
      <c r="I445" s="7">
        <v>766067.23</v>
      </c>
      <c r="J445" s="7">
        <v>32500</v>
      </c>
      <c r="K445" s="7">
        <v>0</v>
      </c>
      <c r="L445" s="7">
        <v>126932.77</v>
      </c>
      <c r="M445" s="7">
        <v>925500</v>
      </c>
      <c r="N445" s="7">
        <v>0</v>
      </c>
      <c r="O445" s="7">
        <v>766067.23</v>
      </c>
      <c r="P445" s="7">
        <v>258839</v>
      </c>
      <c r="Q445" s="7">
        <v>507228.23</v>
      </c>
      <c r="R445" s="7">
        <v>0</v>
      </c>
      <c r="S445" s="7">
        <v>13</v>
      </c>
      <c r="T445" s="7">
        <v>0</v>
      </c>
      <c r="U445" s="7">
        <v>0</v>
      </c>
      <c r="V445" s="9">
        <v>46189.853409826392</v>
      </c>
    </row>
    <row r="446" spans="1:22" x14ac:dyDescent="0.2">
      <c r="A446" s="8">
        <v>45888</v>
      </c>
      <c r="B446" s="7">
        <v>23</v>
      </c>
      <c r="C446" s="7">
        <v>2</v>
      </c>
      <c r="D446" s="7">
        <v>167092.07199999999</v>
      </c>
      <c r="E446" s="7">
        <v>-2</v>
      </c>
      <c r="F446" s="7">
        <v>3993117.66</v>
      </c>
      <c r="G446" s="7">
        <v>-7563.02</v>
      </c>
      <c r="H446" s="7">
        <v>-113445.38</v>
      </c>
      <c r="I446" s="7">
        <v>3872109.26</v>
      </c>
      <c r="J446" s="7">
        <v>47000</v>
      </c>
      <c r="K446" s="7">
        <v>0</v>
      </c>
      <c r="L446" s="7">
        <v>726390.74</v>
      </c>
      <c r="M446" s="7">
        <v>4645500</v>
      </c>
      <c r="N446" s="7">
        <v>0</v>
      </c>
      <c r="O446" s="7">
        <v>3872109.26</v>
      </c>
      <c r="P446" s="7">
        <v>1050395</v>
      </c>
      <c r="Q446" s="7">
        <v>2821714.26</v>
      </c>
      <c r="R446" s="7">
        <v>0</v>
      </c>
      <c r="S446" s="7">
        <v>49</v>
      </c>
      <c r="T446" s="7">
        <v>0</v>
      </c>
      <c r="U446" s="7">
        <v>0</v>
      </c>
      <c r="V446" s="9">
        <v>46189.853409826392</v>
      </c>
    </row>
    <row r="447" spans="1:22" x14ac:dyDescent="0.2">
      <c r="A447" s="8">
        <v>45889</v>
      </c>
      <c r="B447" s="7">
        <v>18</v>
      </c>
      <c r="C447" s="7">
        <v>1.8</v>
      </c>
      <c r="D447" s="7">
        <v>109243.698</v>
      </c>
      <c r="E447" s="7">
        <v>-2</v>
      </c>
      <c r="F447" s="7">
        <v>1966386.58</v>
      </c>
      <c r="G447" s="7">
        <v>0</v>
      </c>
      <c r="H447" s="7">
        <v>166.05</v>
      </c>
      <c r="I447" s="7">
        <v>1966552.63</v>
      </c>
      <c r="J447" s="7">
        <v>75000</v>
      </c>
      <c r="K447" s="7">
        <v>0</v>
      </c>
      <c r="L447" s="7">
        <v>373447.37</v>
      </c>
      <c r="M447" s="7">
        <v>2415000</v>
      </c>
      <c r="N447" s="7">
        <v>0</v>
      </c>
      <c r="O447" s="7">
        <v>1965512.63</v>
      </c>
      <c r="P447" s="7">
        <v>483348</v>
      </c>
      <c r="Q447" s="7">
        <v>1482164.63</v>
      </c>
      <c r="R447" s="7">
        <v>0</v>
      </c>
      <c r="S447" s="7">
        <v>31</v>
      </c>
      <c r="T447" s="7">
        <v>0</v>
      </c>
      <c r="U447" s="7">
        <v>0</v>
      </c>
      <c r="V447" s="9">
        <v>46189.853409826392</v>
      </c>
    </row>
    <row r="448" spans="1:22" x14ac:dyDescent="0.2">
      <c r="A448" s="8">
        <v>45890</v>
      </c>
      <c r="B448" s="7">
        <v>20</v>
      </c>
      <c r="C448" s="7">
        <v>1.8</v>
      </c>
      <c r="D448" s="7">
        <v>167460.08499999999</v>
      </c>
      <c r="E448" s="7">
        <v>0</v>
      </c>
      <c r="F448" s="7">
        <v>3460126.04</v>
      </c>
      <c r="G448" s="7">
        <v>-110924.34</v>
      </c>
      <c r="H448" s="7">
        <v>0</v>
      </c>
      <c r="I448" s="7">
        <v>3349201.7</v>
      </c>
      <c r="J448" s="7">
        <v>38000</v>
      </c>
      <c r="K448" s="7">
        <v>0</v>
      </c>
      <c r="L448" s="7">
        <v>570798.30000000005</v>
      </c>
      <c r="M448" s="7">
        <v>3958000</v>
      </c>
      <c r="N448" s="7">
        <v>250000</v>
      </c>
      <c r="O448" s="7">
        <v>3099201.7</v>
      </c>
      <c r="P448" s="7">
        <v>836677</v>
      </c>
      <c r="Q448" s="7">
        <v>2262524.7000000002</v>
      </c>
      <c r="R448" s="7">
        <v>0</v>
      </c>
      <c r="S448" s="7">
        <v>36</v>
      </c>
      <c r="T448" s="7">
        <v>0</v>
      </c>
      <c r="U448" s="7">
        <v>0</v>
      </c>
      <c r="V448" s="9">
        <v>46189.853409826392</v>
      </c>
    </row>
    <row r="449" spans="1:22" x14ac:dyDescent="0.2">
      <c r="A449" s="8">
        <v>45891</v>
      </c>
      <c r="B449" s="7">
        <v>17</v>
      </c>
      <c r="C449" s="7">
        <v>3.7</v>
      </c>
      <c r="D449" s="7">
        <v>161879.88200000001</v>
      </c>
      <c r="E449" s="7">
        <v>0</v>
      </c>
      <c r="F449" s="7">
        <v>2898596.65</v>
      </c>
      <c r="G449" s="7">
        <v>-129831.93</v>
      </c>
      <c r="H449" s="7">
        <v>0</v>
      </c>
      <c r="I449" s="7">
        <v>2768764.72</v>
      </c>
      <c r="J449" s="7">
        <v>23500</v>
      </c>
      <c r="K449" s="7">
        <v>0</v>
      </c>
      <c r="L449" s="7">
        <v>500415.28</v>
      </c>
      <c r="M449" s="7">
        <v>3292680</v>
      </c>
      <c r="N449" s="7">
        <v>0</v>
      </c>
      <c r="O449" s="7">
        <v>2768764.72</v>
      </c>
      <c r="P449" s="7">
        <v>835183</v>
      </c>
      <c r="Q449" s="7">
        <v>1933581.72</v>
      </c>
      <c r="R449" s="7">
        <v>0</v>
      </c>
      <c r="S449" s="7">
        <v>64</v>
      </c>
      <c r="T449" s="7">
        <v>0</v>
      </c>
      <c r="U449" s="7">
        <v>0</v>
      </c>
      <c r="V449" s="9">
        <v>46189.853409826392</v>
      </c>
    </row>
    <row r="450" spans="1:22" x14ac:dyDescent="0.2">
      <c r="A450" s="8">
        <v>45892</v>
      </c>
      <c r="B450" s="7">
        <v>18</v>
      </c>
      <c r="C450" s="7">
        <v>2.1</v>
      </c>
      <c r="D450" s="7">
        <v>126454.24800000001</v>
      </c>
      <c r="E450" s="7">
        <v>0</v>
      </c>
      <c r="F450" s="7">
        <v>2376008.41</v>
      </c>
      <c r="G450" s="7">
        <v>-20000</v>
      </c>
      <c r="H450" s="7">
        <v>0</v>
      </c>
      <c r="I450" s="7">
        <v>2356008.41</v>
      </c>
      <c r="J450" s="7">
        <v>18000</v>
      </c>
      <c r="K450" s="7">
        <v>0</v>
      </c>
      <c r="L450" s="7">
        <v>440991.59</v>
      </c>
      <c r="M450" s="7">
        <v>2815000</v>
      </c>
      <c r="N450" s="7">
        <v>0</v>
      </c>
      <c r="O450" s="7">
        <v>2356008.41</v>
      </c>
      <c r="P450" s="7">
        <v>744187</v>
      </c>
      <c r="Q450" s="7">
        <v>1611821.41</v>
      </c>
      <c r="R450" s="7">
        <v>0</v>
      </c>
      <c r="S450" s="7">
        <v>40</v>
      </c>
      <c r="T450" s="7">
        <v>0</v>
      </c>
      <c r="U450" s="7">
        <v>0</v>
      </c>
      <c r="V450" s="9">
        <v>46189.853409826392</v>
      </c>
    </row>
    <row r="451" spans="1:22" x14ac:dyDescent="0.2">
      <c r="A451" s="8">
        <v>45893</v>
      </c>
      <c r="B451" s="7">
        <v>20</v>
      </c>
      <c r="C451" s="7">
        <v>2</v>
      </c>
      <c r="D451" s="7">
        <v>130284.452</v>
      </c>
      <c r="E451" s="7">
        <v>0</v>
      </c>
      <c r="F451" s="7">
        <v>2605689.0499999998</v>
      </c>
      <c r="G451" s="7">
        <v>0</v>
      </c>
      <c r="H451" s="7">
        <v>0</v>
      </c>
      <c r="I451" s="7">
        <v>2605689.0499999998</v>
      </c>
      <c r="J451" s="7">
        <v>43500</v>
      </c>
      <c r="K451" s="7">
        <v>0</v>
      </c>
      <c r="L451" s="7">
        <v>441310.95</v>
      </c>
      <c r="M451" s="7">
        <v>3090500</v>
      </c>
      <c r="N451" s="7">
        <v>96000</v>
      </c>
      <c r="O451" s="7">
        <v>2509689.0499999998</v>
      </c>
      <c r="P451" s="7">
        <v>804180</v>
      </c>
      <c r="Q451" s="7">
        <v>1705509.05</v>
      </c>
      <c r="R451" s="7">
        <v>0</v>
      </c>
      <c r="S451" s="7">
        <v>41</v>
      </c>
      <c r="T451" s="7">
        <v>0</v>
      </c>
      <c r="U451" s="7">
        <v>0</v>
      </c>
      <c r="V451" s="9">
        <v>46189.853409826392</v>
      </c>
    </row>
    <row r="452" spans="1:22" x14ac:dyDescent="0.2">
      <c r="A452" s="8">
        <v>45894</v>
      </c>
      <c r="B452" s="7">
        <v>22</v>
      </c>
      <c r="C452" s="7">
        <v>2.1</v>
      </c>
      <c r="D452" s="7">
        <v>140374.37700000001</v>
      </c>
      <c r="E452" s="7">
        <v>0</v>
      </c>
      <c r="F452" s="7">
        <v>3088236.31</v>
      </c>
      <c r="G452" s="7">
        <v>0</v>
      </c>
      <c r="H452" s="7">
        <v>0</v>
      </c>
      <c r="I452" s="7">
        <v>3088236.31</v>
      </c>
      <c r="J452" s="7">
        <v>57000</v>
      </c>
      <c r="K452" s="7">
        <v>0</v>
      </c>
      <c r="L452" s="7">
        <v>586764.68999999994</v>
      </c>
      <c r="M452" s="7">
        <v>3732001</v>
      </c>
      <c r="N452" s="7">
        <v>44538.82</v>
      </c>
      <c r="O452" s="7">
        <v>3043697.49</v>
      </c>
      <c r="P452" s="7">
        <v>1039140</v>
      </c>
      <c r="Q452" s="7">
        <v>2004557.49</v>
      </c>
      <c r="R452" s="7">
        <v>0</v>
      </c>
      <c r="S452" s="7">
        <v>46</v>
      </c>
      <c r="T452" s="7">
        <v>0</v>
      </c>
      <c r="U452" s="7">
        <v>0</v>
      </c>
      <c r="V452" s="9">
        <v>46189.853409826392</v>
      </c>
    </row>
    <row r="453" spans="1:22" x14ac:dyDescent="0.2">
      <c r="A453" s="8">
        <v>45895</v>
      </c>
      <c r="B453" s="7">
        <v>19</v>
      </c>
      <c r="C453" s="7">
        <v>2.4</v>
      </c>
      <c r="D453" s="7">
        <v>140667.84599999999</v>
      </c>
      <c r="E453" s="7">
        <v>-1</v>
      </c>
      <c r="F453" s="7">
        <v>2731512.61</v>
      </c>
      <c r="G453" s="7">
        <v>0</v>
      </c>
      <c r="H453" s="7">
        <v>-84033.61</v>
      </c>
      <c r="I453" s="7">
        <v>2647479</v>
      </c>
      <c r="J453" s="7">
        <v>54000</v>
      </c>
      <c r="K453" s="7">
        <v>0</v>
      </c>
      <c r="L453" s="7">
        <v>503021</v>
      </c>
      <c r="M453" s="7">
        <v>3204500</v>
      </c>
      <c r="N453" s="7">
        <v>37815.129999999997</v>
      </c>
      <c r="O453" s="7">
        <v>2609663.87</v>
      </c>
      <c r="P453" s="7">
        <v>644735</v>
      </c>
      <c r="Q453" s="7">
        <v>1964928.87</v>
      </c>
      <c r="R453" s="7">
        <v>0</v>
      </c>
      <c r="S453" s="7">
        <v>46</v>
      </c>
      <c r="T453" s="7">
        <v>0</v>
      </c>
      <c r="U453" s="7">
        <v>0</v>
      </c>
      <c r="V453" s="9">
        <v>46189.853409826392</v>
      </c>
    </row>
    <row r="454" spans="1:22" x14ac:dyDescent="0.2">
      <c r="A454" s="8">
        <v>45896</v>
      </c>
      <c r="B454" s="7">
        <v>16</v>
      </c>
      <c r="C454" s="7">
        <v>1.8</v>
      </c>
      <c r="D454" s="7">
        <v>105304.621</v>
      </c>
      <c r="E454" s="7">
        <v>-2</v>
      </c>
      <c r="F454" s="7">
        <v>1991176.48</v>
      </c>
      <c r="G454" s="7">
        <v>0</v>
      </c>
      <c r="H454" s="7">
        <v>-117647.06</v>
      </c>
      <c r="I454" s="7">
        <v>1873529.42</v>
      </c>
      <c r="J454" s="7">
        <v>55500</v>
      </c>
      <c r="K454" s="7">
        <v>0</v>
      </c>
      <c r="L454" s="7">
        <v>355970.58</v>
      </c>
      <c r="M454" s="7">
        <v>2285000</v>
      </c>
      <c r="N454" s="7">
        <v>0</v>
      </c>
      <c r="O454" s="7">
        <v>1873529.42</v>
      </c>
      <c r="P454" s="7">
        <v>478108</v>
      </c>
      <c r="Q454" s="7">
        <v>1395421.42</v>
      </c>
      <c r="R454" s="7">
        <v>0</v>
      </c>
      <c r="S454" s="7">
        <v>32</v>
      </c>
      <c r="T454" s="7">
        <v>0</v>
      </c>
      <c r="U454" s="7">
        <v>0</v>
      </c>
      <c r="V454" s="9">
        <v>46189.853409826392</v>
      </c>
    </row>
    <row r="455" spans="1:22" x14ac:dyDescent="0.2">
      <c r="A455" s="8">
        <v>45897</v>
      </c>
      <c r="B455" s="7">
        <v>23</v>
      </c>
      <c r="C455" s="7">
        <v>1.7</v>
      </c>
      <c r="D455" s="7">
        <v>115875.04700000001</v>
      </c>
      <c r="E455" s="7">
        <v>0</v>
      </c>
      <c r="F455" s="7">
        <v>2747479.04</v>
      </c>
      <c r="G455" s="7">
        <v>-31932.77</v>
      </c>
      <c r="H455" s="7">
        <v>0</v>
      </c>
      <c r="I455" s="7">
        <v>2715546.27</v>
      </c>
      <c r="J455" s="7">
        <v>36000</v>
      </c>
      <c r="K455" s="7">
        <v>0</v>
      </c>
      <c r="L455" s="7">
        <v>515953.73</v>
      </c>
      <c r="M455" s="7">
        <v>3267500</v>
      </c>
      <c r="N455" s="7">
        <v>168907.57</v>
      </c>
      <c r="O455" s="7">
        <v>2546638.7000000002</v>
      </c>
      <c r="P455" s="7">
        <v>753979</v>
      </c>
      <c r="Q455" s="7">
        <v>1792659.7</v>
      </c>
      <c r="R455" s="7">
        <v>0</v>
      </c>
      <c r="S455" s="7">
        <v>41</v>
      </c>
      <c r="T455" s="7">
        <v>0</v>
      </c>
      <c r="U455" s="7">
        <v>0</v>
      </c>
      <c r="V455" s="9">
        <v>46189.853409826392</v>
      </c>
    </row>
    <row r="456" spans="1:22" x14ac:dyDescent="0.2">
      <c r="A456" s="8">
        <v>45898</v>
      </c>
      <c r="B456" s="7">
        <v>21</v>
      </c>
      <c r="C456" s="7">
        <v>3</v>
      </c>
      <c r="D456" s="7">
        <v>169247.69899999999</v>
      </c>
      <c r="E456" s="7">
        <v>0</v>
      </c>
      <c r="F456" s="7">
        <v>3592016.82</v>
      </c>
      <c r="G456" s="7">
        <v>0</v>
      </c>
      <c r="H456" s="7">
        <v>0</v>
      </c>
      <c r="I456" s="7">
        <v>3592016.82</v>
      </c>
      <c r="J456" s="7">
        <v>41500</v>
      </c>
      <c r="K456" s="7">
        <v>0</v>
      </c>
      <c r="L456" s="7">
        <v>682483.18</v>
      </c>
      <c r="M456" s="7">
        <v>4316000</v>
      </c>
      <c r="N456" s="7">
        <v>0</v>
      </c>
      <c r="O456" s="7">
        <v>3592016.82</v>
      </c>
      <c r="P456" s="7">
        <v>882971</v>
      </c>
      <c r="Q456" s="7">
        <v>2709045.82</v>
      </c>
      <c r="R456" s="7">
        <v>200000</v>
      </c>
      <c r="S456" s="7">
        <v>63</v>
      </c>
      <c r="T456" s="7">
        <v>0</v>
      </c>
      <c r="U456" s="7">
        <v>200000</v>
      </c>
      <c r="V456" s="9">
        <v>46189.853409826392</v>
      </c>
    </row>
    <row r="457" spans="1:22" x14ac:dyDescent="0.2">
      <c r="A457" s="8">
        <v>45899</v>
      </c>
      <c r="B457" s="7">
        <v>15</v>
      </c>
      <c r="C457" s="7">
        <v>2</v>
      </c>
      <c r="D457" s="7">
        <v>106336.694</v>
      </c>
      <c r="E457" s="7">
        <v>-1</v>
      </c>
      <c r="F457" s="7">
        <v>1596731.08</v>
      </c>
      <c r="G457" s="7">
        <v>-1680.66</v>
      </c>
      <c r="H457" s="7">
        <v>0</v>
      </c>
      <c r="I457" s="7">
        <v>1595050.42</v>
      </c>
      <c r="J457" s="7">
        <v>0</v>
      </c>
      <c r="K457" s="7">
        <v>0</v>
      </c>
      <c r="L457" s="7">
        <v>270949.58</v>
      </c>
      <c r="M457" s="7">
        <v>1866000</v>
      </c>
      <c r="N457" s="7">
        <v>0</v>
      </c>
      <c r="O457" s="7">
        <v>1595050.42</v>
      </c>
      <c r="P457" s="7">
        <v>663284</v>
      </c>
      <c r="Q457" s="7">
        <v>931766.42</v>
      </c>
      <c r="R457" s="7">
        <v>210000</v>
      </c>
      <c r="S457" s="7">
        <v>29</v>
      </c>
      <c r="T457" s="7">
        <v>0</v>
      </c>
      <c r="U457" s="7">
        <v>210000</v>
      </c>
      <c r="V457" s="9">
        <v>46189.853409826392</v>
      </c>
    </row>
    <row r="458" spans="1:22" x14ac:dyDescent="0.2">
      <c r="A458" s="8">
        <v>45900</v>
      </c>
      <c r="B458" s="7">
        <v>17</v>
      </c>
      <c r="C458" s="7">
        <v>1.7</v>
      </c>
      <c r="D458" s="7">
        <v>124137.914</v>
      </c>
      <c r="E458" s="7">
        <v>0</v>
      </c>
      <c r="F458" s="7">
        <v>2110344.5499999998</v>
      </c>
      <c r="G458" s="7">
        <v>0</v>
      </c>
      <c r="H458" s="7">
        <v>0</v>
      </c>
      <c r="I458" s="7">
        <v>2110344.5499999998</v>
      </c>
      <c r="J458" s="7">
        <v>72000</v>
      </c>
      <c r="K458" s="7">
        <v>0</v>
      </c>
      <c r="L458" s="7">
        <v>391655.45</v>
      </c>
      <c r="M458" s="7">
        <v>2574000</v>
      </c>
      <c r="N458" s="7">
        <v>0</v>
      </c>
      <c r="O458" s="7">
        <v>2110344.5499999998</v>
      </c>
      <c r="P458" s="7">
        <v>769144</v>
      </c>
      <c r="Q458" s="7">
        <v>1341200.55</v>
      </c>
      <c r="R458" s="7">
        <v>0</v>
      </c>
      <c r="S458" s="7">
        <v>29</v>
      </c>
      <c r="T458" s="7">
        <v>0</v>
      </c>
      <c r="U458" s="7">
        <v>0</v>
      </c>
      <c r="V458" s="9">
        <v>46189.853409826392</v>
      </c>
    </row>
    <row r="459" spans="1:22" x14ac:dyDescent="0.2">
      <c r="A459" s="8">
        <v>45901</v>
      </c>
      <c r="B459" s="7">
        <v>17</v>
      </c>
      <c r="C459" s="7">
        <v>2.2000000000000002</v>
      </c>
      <c r="D459" s="7">
        <v>145056.845</v>
      </c>
      <c r="E459" s="7">
        <v>-1</v>
      </c>
      <c r="F459" s="7">
        <v>2529831.89</v>
      </c>
      <c r="G459" s="7">
        <v>-20168.03</v>
      </c>
      <c r="H459" s="7">
        <v>-46218.48</v>
      </c>
      <c r="I459" s="7">
        <v>2463445.38</v>
      </c>
      <c r="J459" s="7">
        <v>83000</v>
      </c>
      <c r="K459" s="7">
        <v>0</v>
      </c>
      <c r="L459" s="7">
        <v>468054.62</v>
      </c>
      <c r="M459" s="7">
        <v>3014500</v>
      </c>
      <c r="N459" s="7">
        <v>75630.25</v>
      </c>
      <c r="O459" s="7">
        <v>2387815.13</v>
      </c>
      <c r="P459" s="7">
        <v>709333</v>
      </c>
      <c r="Q459" s="7">
        <v>1678482.13</v>
      </c>
      <c r="R459" s="7">
        <v>0</v>
      </c>
      <c r="S459" s="7">
        <v>38</v>
      </c>
      <c r="T459" s="7">
        <v>0</v>
      </c>
      <c r="U459" s="7">
        <v>0</v>
      </c>
      <c r="V459" s="9">
        <v>46189.853409826392</v>
      </c>
    </row>
    <row r="460" spans="1:22" x14ac:dyDescent="0.2">
      <c r="A460" s="8">
        <v>45902</v>
      </c>
      <c r="B460" s="7">
        <v>16</v>
      </c>
      <c r="C460" s="7">
        <v>2.4</v>
      </c>
      <c r="D460" s="7">
        <v>169590.33600000001</v>
      </c>
      <c r="E460" s="7">
        <v>-3</v>
      </c>
      <c r="F460" s="7">
        <v>2801680.68</v>
      </c>
      <c r="G460" s="7">
        <v>0</v>
      </c>
      <c r="H460" s="7">
        <v>-88235.29</v>
      </c>
      <c r="I460" s="7">
        <v>2713445.39</v>
      </c>
      <c r="J460" s="7">
        <v>36000</v>
      </c>
      <c r="K460" s="7">
        <v>0</v>
      </c>
      <c r="L460" s="7">
        <v>515554.61</v>
      </c>
      <c r="M460" s="7">
        <v>3265000</v>
      </c>
      <c r="N460" s="7">
        <v>88235.29</v>
      </c>
      <c r="O460" s="7">
        <v>2625210.1</v>
      </c>
      <c r="P460" s="7">
        <v>688400</v>
      </c>
      <c r="Q460" s="7">
        <v>1936810.1</v>
      </c>
      <c r="R460" s="7">
        <v>0</v>
      </c>
      <c r="S460" s="7">
        <v>38</v>
      </c>
      <c r="T460" s="7">
        <v>0</v>
      </c>
      <c r="U460" s="7">
        <v>0</v>
      </c>
      <c r="V460" s="9">
        <v>46189.853409826392</v>
      </c>
    </row>
    <row r="461" spans="1:22" x14ac:dyDescent="0.2">
      <c r="A461" s="8">
        <v>45903</v>
      </c>
      <c r="B461" s="7">
        <v>16</v>
      </c>
      <c r="C461" s="7">
        <v>1.9</v>
      </c>
      <c r="D461" s="7">
        <v>142481.61799999999</v>
      </c>
      <c r="E461" s="7">
        <v>0</v>
      </c>
      <c r="F461" s="7">
        <v>2292310.91</v>
      </c>
      <c r="G461" s="7">
        <v>-12605.01</v>
      </c>
      <c r="H461" s="7">
        <v>0</v>
      </c>
      <c r="I461" s="7">
        <v>2279705.9</v>
      </c>
      <c r="J461" s="7">
        <v>18000</v>
      </c>
      <c r="K461" s="7">
        <v>0</v>
      </c>
      <c r="L461" s="7">
        <v>411294.1</v>
      </c>
      <c r="M461" s="7">
        <v>2709000</v>
      </c>
      <c r="N461" s="7">
        <v>0</v>
      </c>
      <c r="O461" s="7">
        <v>2279705.9</v>
      </c>
      <c r="P461" s="7">
        <v>695955</v>
      </c>
      <c r="Q461" s="7">
        <v>1583750.9</v>
      </c>
      <c r="R461" s="7">
        <v>0</v>
      </c>
      <c r="S461" s="7">
        <v>30</v>
      </c>
      <c r="T461" s="7">
        <v>0</v>
      </c>
      <c r="U461" s="7">
        <v>0</v>
      </c>
      <c r="V461" s="9">
        <v>46189.853409826392</v>
      </c>
    </row>
    <row r="462" spans="1:22" x14ac:dyDescent="0.2">
      <c r="A462" s="8">
        <v>45904</v>
      </c>
      <c r="B462" s="7">
        <v>26</v>
      </c>
      <c r="C462" s="7">
        <v>4.5999999999999996</v>
      </c>
      <c r="D462" s="7">
        <v>221671.00899999999</v>
      </c>
      <c r="E462" s="7">
        <v>-8</v>
      </c>
      <c r="F462" s="7">
        <v>6117227.7300000004</v>
      </c>
      <c r="G462" s="7">
        <v>-227731.07</v>
      </c>
      <c r="H462" s="7">
        <v>-478991.59</v>
      </c>
      <c r="I462" s="7">
        <v>5410505.0700000003</v>
      </c>
      <c r="J462" s="7">
        <v>79500</v>
      </c>
      <c r="K462" s="7">
        <v>0</v>
      </c>
      <c r="L462" s="7">
        <v>1027995.93</v>
      </c>
      <c r="M462" s="7">
        <v>6518001</v>
      </c>
      <c r="N462" s="7">
        <v>0.84</v>
      </c>
      <c r="O462" s="7">
        <v>5410504.2300000004</v>
      </c>
      <c r="P462" s="7">
        <v>1721426</v>
      </c>
      <c r="Q462" s="7">
        <v>3689078.23</v>
      </c>
      <c r="R462" s="7">
        <v>0</v>
      </c>
      <c r="S462" s="7">
        <v>113</v>
      </c>
      <c r="T462" s="7">
        <v>0</v>
      </c>
      <c r="U462" s="7">
        <v>0</v>
      </c>
      <c r="V462" s="9">
        <v>46189.853409826392</v>
      </c>
    </row>
    <row r="463" spans="1:22" x14ac:dyDescent="0.2">
      <c r="A463" s="8">
        <v>45905</v>
      </c>
      <c r="B463" s="7">
        <v>18</v>
      </c>
      <c r="C463" s="7">
        <v>7.8</v>
      </c>
      <c r="D463" s="7">
        <v>231465.92</v>
      </c>
      <c r="E463" s="7">
        <v>0</v>
      </c>
      <c r="F463" s="7">
        <v>4536974.78</v>
      </c>
      <c r="G463" s="7">
        <v>-370588.21</v>
      </c>
      <c r="H463" s="7">
        <v>0</v>
      </c>
      <c r="I463" s="7">
        <v>4166386.57</v>
      </c>
      <c r="J463" s="7">
        <v>56000</v>
      </c>
      <c r="K463" s="7">
        <v>0</v>
      </c>
      <c r="L463" s="7">
        <v>791613.43</v>
      </c>
      <c r="M463" s="7">
        <v>5014000</v>
      </c>
      <c r="N463" s="7">
        <v>0</v>
      </c>
      <c r="O463" s="7">
        <v>4166386.57</v>
      </c>
      <c r="P463" s="7">
        <v>1480498</v>
      </c>
      <c r="Q463" s="7">
        <v>2685888.57</v>
      </c>
      <c r="R463" s="7">
        <v>0</v>
      </c>
      <c r="S463" s="7">
        <v>141</v>
      </c>
      <c r="T463" s="7">
        <v>0</v>
      </c>
      <c r="U463" s="7">
        <v>0</v>
      </c>
      <c r="V463" s="9">
        <v>46189.853409826392</v>
      </c>
    </row>
    <row r="464" spans="1:22" x14ac:dyDescent="0.2">
      <c r="A464" s="8">
        <v>45906</v>
      </c>
      <c r="B464" s="7">
        <v>22</v>
      </c>
      <c r="C464" s="7">
        <v>2.5</v>
      </c>
      <c r="D464" s="7">
        <v>137453.78099999999</v>
      </c>
      <c r="E464" s="7">
        <v>0</v>
      </c>
      <c r="F464" s="7">
        <v>3213058.83</v>
      </c>
      <c r="G464" s="7">
        <v>0</v>
      </c>
      <c r="H464" s="7">
        <v>0</v>
      </c>
      <c r="I464" s="7">
        <v>3213058.83</v>
      </c>
      <c r="J464" s="7">
        <v>38000</v>
      </c>
      <c r="K464" s="7">
        <v>0</v>
      </c>
      <c r="L464" s="7">
        <v>559941.17000000004</v>
      </c>
      <c r="M464" s="7">
        <v>3811000</v>
      </c>
      <c r="N464" s="7">
        <v>0</v>
      </c>
      <c r="O464" s="7">
        <v>3213058.83</v>
      </c>
      <c r="P464" s="7">
        <v>963473</v>
      </c>
      <c r="Q464" s="7">
        <v>2249585.83</v>
      </c>
      <c r="R464" s="7">
        <v>0</v>
      </c>
      <c r="S464" s="7">
        <v>57</v>
      </c>
      <c r="T464" s="7">
        <v>0</v>
      </c>
      <c r="U464" s="7">
        <v>0</v>
      </c>
      <c r="V464" s="9">
        <v>46189.853409826392</v>
      </c>
    </row>
    <row r="465" spans="1:22" x14ac:dyDescent="0.2">
      <c r="A465" s="8">
        <v>45907</v>
      </c>
      <c r="B465" s="7">
        <v>11</v>
      </c>
      <c r="C465" s="7">
        <v>3.2</v>
      </c>
      <c r="D465" s="7">
        <v>186430.864</v>
      </c>
      <c r="E465" s="7">
        <v>0</v>
      </c>
      <c r="F465" s="7">
        <v>2050739.51</v>
      </c>
      <c r="G465" s="7">
        <v>0</v>
      </c>
      <c r="H465" s="7">
        <v>0</v>
      </c>
      <c r="I465" s="7">
        <v>2050739.51</v>
      </c>
      <c r="J465" s="7">
        <v>53500</v>
      </c>
      <c r="K465" s="7">
        <v>0</v>
      </c>
      <c r="L465" s="7">
        <v>370260.49</v>
      </c>
      <c r="M465" s="7">
        <v>2474500</v>
      </c>
      <c r="N465" s="7">
        <v>126050.42</v>
      </c>
      <c r="O465" s="7">
        <v>1924689.09</v>
      </c>
      <c r="P465" s="7">
        <v>646771</v>
      </c>
      <c r="Q465" s="7">
        <v>1277918.0900000001</v>
      </c>
      <c r="R465" s="7">
        <v>0</v>
      </c>
      <c r="S465" s="7">
        <v>35</v>
      </c>
      <c r="T465" s="7">
        <v>0</v>
      </c>
      <c r="U465" s="7">
        <v>0</v>
      </c>
      <c r="V465" s="9">
        <v>46189.853409826392</v>
      </c>
    </row>
    <row r="466" spans="1:22" x14ac:dyDescent="0.2">
      <c r="A466" s="8">
        <v>45908</v>
      </c>
      <c r="B466" s="7">
        <v>19</v>
      </c>
      <c r="C466" s="7">
        <v>3.4</v>
      </c>
      <c r="D466" s="7">
        <v>184343.21</v>
      </c>
      <c r="E466" s="7">
        <v>0</v>
      </c>
      <c r="F466" s="7">
        <v>3527731.06</v>
      </c>
      <c r="G466" s="7">
        <v>-25210.06</v>
      </c>
      <c r="H466" s="7">
        <v>0</v>
      </c>
      <c r="I466" s="7">
        <v>3502521</v>
      </c>
      <c r="J466" s="7">
        <v>128500</v>
      </c>
      <c r="K466" s="7">
        <v>0</v>
      </c>
      <c r="L466" s="7">
        <v>665479</v>
      </c>
      <c r="M466" s="7">
        <v>4296500</v>
      </c>
      <c r="N466" s="7">
        <v>172268.88</v>
      </c>
      <c r="O466" s="7">
        <v>3330252.12</v>
      </c>
      <c r="P466" s="7">
        <v>971980</v>
      </c>
      <c r="Q466" s="7">
        <v>2358272.12</v>
      </c>
      <c r="R466" s="7">
        <v>0</v>
      </c>
      <c r="S466" s="7">
        <v>64</v>
      </c>
      <c r="T466" s="7">
        <v>0</v>
      </c>
      <c r="U466" s="7">
        <v>0</v>
      </c>
      <c r="V466" s="9">
        <v>46189.853409826392</v>
      </c>
    </row>
    <row r="467" spans="1:22" x14ac:dyDescent="0.2">
      <c r="A467" s="8">
        <v>45909</v>
      </c>
      <c r="B467" s="7">
        <v>33</v>
      </c>
      <c r="C467" s="7">
        <v>2.1</v>
      </c>
      <c r="D467" s="7">
        <v>112579.602</v>
      </c>
      <c r="E467" s="7">
        <v>-1</v>
      </c>
      <c r="F467" s="7">
        <v>3740336.94</v>
      </c>
      <c r="G467" s="7">
        <v>-4201.6499999999996</v>
      </c>
      <c r="H467" s="7">
        <v>-12605.04</v>
      </c>
      <c r="I467" s="7">
        <v>3723530.25</v>
      </c>
      <c r="J467" s="7">
        <v>68500</v>
      </c>
      <c r="K467" s="7">
        <v>0</v>
      </c>
      <c r="L467" s="7">
        <v>707470.75</v>
      </c>
      <c r="M467" s="7">
        <v>4499501</v>
      </c>
      <c r="N467" s="7">
        <v>21009.24</v>
      </c>
      <c r="O467" s="7">
        <v>3702521.01</v>
      </c>
      <c r="P467" s="7">
        <v>1086636</v>
      </c>
      <c r="Q467" s="7">
        <v>2615885.0099999998</v>
      </c>
      <c r="R467" s="7">
        <v>0</v>
      </c>
      <c r="S467" s="7">
        <v>70</v>
      </c>
      <c r="T467" s="7">
        <v>0</v>
      </c>
      <c r="U467" s="7">
        <v>0</v>
      </c>
      <c r="V467" s="9">
        <v>46189.853409826392</v>
      </c>
    </row>
    <row r="468" spans="1:22" x14ac:dyDescent="0.2">
      <c r="A468" s="8">
        <v>45910</v>
      </c>
      <c r="B468" s="7">
        <v>15</v>
      </c>
      <c r="C468" s="7">
        <v>2.2999999999999998</v>
      </c>
      <c r="D468" s="7">
        <v>136966.386</v>
      </c>
      <c r="E468" s="7">
        <v>0</v>
      </c>
      <c r="F468" s="7">
        <v>2155336.14</v>
      </c>
      <c r="G468" s="7">
        <v>0</v>
      </c>
      <c r="H468" s="7">
        <v>0</v>
      </c>
      <c r="I468" s="7">
        <v>2155336.14</v>
      </c>
      <c r="J468" s="7">
        <v>23500</v>
      </c>
      <c r="K468" s="7">
        <v>0</v>
      </c>
      <c r="L468" s="7">
        <v>387663.86</v>
      </c>
      <c r="M468" s="7">
        <v>2566500</v>
      </c>
      <c r="N468" s="7">
        <v>0</v>
      </c>
      <c r="O468" s="7">
        <v>2155336.14</v>
      </c>
      <c r="P468" s="7">
        <v>605989</v>
      </c>
      <c r="Q468" s="7">
        <v>1549347.14</v>
      </c>
      <c r="R468" s="7">
        <v>70000</v>
      </c>
      <c r="S468" s="7">
        <v>36</v>
      </c>
      <c r="T468" s="7">
        <v>0</v>
      </c>
      <c r="U468" s="7">
        <v>70000</v>
      </c>
      <c r="V468" s="9">
        <v>46189.853409826392</v>
      </c>
    </row>
    <row r="469" spans="1:22" x14ac:dyDescent="0.2">
      <c r="A469" s="8">
        <v>45911</v>
      </c>
      <c r="B469" s="7">
        <v>46</v>
      </c>
      <c r="C469" s="7">
        <v>1.8</v>
      </c>
      <c r="D469" s="7">
        <v>111929.30100000001</v>
      </c>
      <c r="E469" s="7">
        <v>-2</v>
      </c>
      <c r="F469" s="7">
        <v>5276899.1500000004</v>
      </c>
      <c r="G469" s="7">
        <v>-18907.560000000001</v>
      </c>
      <c r="H469" s="7">
        <v>-117647.05</v>
      </c>
      <c r="I469" s="7">
        <v>5140344.54</v>
      </c>
      <c r="J469" s="7">
        <v>68500</v>
      </c>
      <c r="K469" s="7">
        <v>0</v>
      </c>
      <c r="L469" s="7">
        <v>971155.46</v>
      </c>
      <c r="M469" s="7">
        <v>6180000</v>
      </c>
      <c r="N469" s="7">
        <v>0</v>
      </c>
      <c r="O469" s="7">
        <v>5140344.54</v>
      </c>
      <c r="P469" s="7">
        <v>1414721.12</v>
      </c>
      <c r="Q469" s="7">
        <v>3725623.42</v>
      </c>
      <c r="R469" s="7">
        <v>0</v>
      </c>
      <c r="S469" s="7">
        <v>83</v>
      </c>
      <c r="T469" s="7">
        <v>0</v>
      </c>
      <c r="U469" s="7">
        <v>0</v>
      </c>
      <c r="V469" s="9">
        <v>46189.853409826392</v>
      </c>
    </row>
    <row r="470" spans="1:22" x14ac:dyDescent="0.2">
      <c r="A470" s="8">
        <v>45912</v>
      </c>
      <c r="B470" s="7">
        <v>57</v>
      </c>
      <c r="C470" s="7">
        <v>1.6</v>
      </c>
      <c r="D470" s="7">
        <v>101456.435</v>
      </c>
      <c r="E470" s="7">
        <v>0</v>
      </c>
      <c r="F470" s="7">
        <v>5783016.8399999999</v>
      </c>
      <c r="G470" s="7">
        <v>0</v>
      </c>
      <c r="H470" s="7">
        <v>0</v>
      </c>
      <c r="I470" s="7">
        <v>5783016.8399999999</v>
      </c>
      <c r="J470" s="7">
        <v>59500</v>
      </c>
      <c r="K470" s="7">
        <v>0</v>
      </c>
      <c r="L470" s="7">
        <v>1052983.1599999999</v>
      </c>
      <c r="M470" s="7">
        <v>6895500</v>
      </c>
      <c r="N470" s="7">
        <v>78000</v>
      </c>
      <c r="O470" s="7">
        <v>5705016.8399999999</v>
      </c>
      <c r="P470" s="7">
        <v>1767129</v>
      </c>
      <c r="Q470" s="7">
        <v>3937887.84</v>
      </c>
      <c r="R470" s="7">
        <v>0</v>
      </c>
      <c r="S470" s="7">
        <v>94</v>
      </c>
      <c r="T470" s="7">
        <v>0</v>
      </c>
      <c r="U470" s="7">
        <v>0</v>
      </c>
      <c r="V470" s="9">
        <v>46189.853409826392</v>
      </c>
    </row>
    <row r="471" spans="1:22" x14ac:dyDescent="0.2">
      <c r="A471" s="8">
        <v>45913</v>
      </c>
      <c r="B471" s="7">
        <v>86</v>
      </c>
      <c r="C471" s="7">
        <v>1.8</v>
      </c>
      <c r="D471" s="7">
        <v>92255.619000000006</v>
      </c>
      <c r="E471" s="7">
        <v>-9</v>
      </c>
      <c r="F471" s="7">
        <v>8086084.0899999999</v>
      </c>
      <c r="G471" s="7">
        <v>-4201.68</v>
      </c>
      <c r="H471" s="7">
        <v>-185462.18</v>
      </c>
      <c r="I471" s="7">
        <v>7896420.2300000004</v>
      </c>
      <c r="J471" s="7">
        <v>111000</v>
      </c>
      <c r="K471" s="7">
        <v>0</v>
      </c>
      <c r="L471" s="7">
        <v>1453579.77</v>
      </c>
      <c r="M471" s="7">
        <v>9461000</v>
      </c>
      <c r="N471" s="7">
        <v>100000</v>
      </c>
      <c r="O471" s="7">
        <v>7796420.2300000004</v>
      </c>
      <c r="P471" s="7">
        <v>2276328</v>
      </c>
      <c r="Q471" s="7">
        <v>5520092.2300000004</v>
      </c>
      <c r="R471" s="7">
        <v>0</v>
      </c>
      <c r="S471" s="7">
        <v>148</v>
      </c>
      <c r="T471" s="7">
        <v>0</v>
      </c>
      <c r="U471" s="7">
        <v>0</v>
      </c>
      <c r="V471" s="9">
        <v>46189.853409826392</v>
      </c>
    </row>
    <row r="472" spans="1:22" x14ac:dyDescent="0.2">
      <c r="A472" s="8">
        <v>45914</v>
      </c>
      <c r="B472" s="7">
        <v>78</v>
      </c>
      <c r="C472" s="7">
        <v>2</v>
      </c>
      <c r="D472" s="7">
        <v>106609.567</v>
      </c>
      <c r="E472" s="7">
        <v>0</v>
      </c>
      <c r="F472" s="7">
        <v>8319747.9800000004</v>
      </c>
      <c r="G472" s="7">
        <v>-4201.68</v>
      </c>
      <c r="H472" s="7">
        <v>0</v>
      </c>
      <c r="I472" s="7">
        <v>8315546.2999999998</v>
      </c>
      <c r="J472" s="7">
        <v>56000</v>
      </c>
      <c r="K472" s="7">
        <v>0</v>
      </c>
      <c r="L472" s="7">
        <v>1579953.7</v>
      </c>
      <c r="M472" s="7">
        <v>9951500</v>
      </c>
      <c r="N472" s="7">
        <v>15126.06</v>
      </c>
      <c r="O472" s="7">
        <v>8300420.2400000002</v>
      </c>
      <c r="P472" s="7">
        <v>1995286</v>
      </c>
      <c r="Q472" s="7">
        <v>6305134.2400000002</v>
      </c>
      <c r="R472" s="7">
        <v>0</v>
      </c>
      <c r="S472" s="7">
        <v>155</v>
      </c>
      <c r="T472" s="7">
        <v>0</v>
      </c>
      <c r="U472" s="7">
        <v>0</v>
      </c>
      <c r="V472" s="9">
        <v>46189.853409826392</v>
      </c>
    </row>
    <row r="473" spans="1:22" x14ac:dyDescent="0.2">
      <c r="A473" s="8">
        <v>45915</v>
      </c>
      <c r="B473" s="7">
        <v>12</v>
      </c>
      <c r="C473" s="7">
        <v>2</v>
      </c>
      <c r="D473" s="7">
        <v>114145.658</v>
      </c>
      <c r="E473" s="7">
        <v>-3</v>
      </c>
      <c r="F473" s="7">
        <v>1524747.9</v>
      </c>
      <c r="G473" s="7">
        <v>-155000</v>
      </c>
      <c r="H473" s="7">
        <v>-1554.63</v>
      </c>
      <c r="I473" s="7">
        <v>1368193.27</v>
      </c>
      <c r="J473" s="7">
        <v>27000</v>
      </c>
      <c r="K473" s="7">
        <v>0</v>
      </c>
      <c r="L473" s="7">
        <v>243806.73</v>
      </c>
      <c r="M473" s="7">
        <v>1639000</v>
      </c>
      <c r="N473" s="7">
        <v>68907.55</v>
      </c>
      <c r="O473" s="7">
        <v>1214285.72</v>
      </c>
      <c r="P473" s="7">
        <v>362489</v>
      </c>
      <c r="Q473" s="7">
        <v>851796.72</v>
      </c>
      <c r="R473" s="7">
        <v>0</v>
      </c>
      <c r="S473" s="7">
        <v>21</v>
      </c>
      <c r="T473" s="7">
        <v>0</v>
      </c>
      <c r="U473" s="7">
        <v>0</v>
      </c>
      <c r="V473" s="9">
        <v>46189.853409826392</v>
      </c>
    </row>
    <row r="474" spans="1:22" x14ac:dyDescent="0.2">
      <c r="A474" s="8">
        <v>45916</v>
      </c>
      <c r="B474" s="7">
        <v>24</v>
      </c>
      <c r="C474" s="7">
        <v>2</v>
      </c>
      <c r="D474" s="7">
        <v>114033.96400000001</v>
      </c>
      <c r="E474" s="7">
        <v>-1</v>
      </c>
      <c r="F474" s="7">
        <v>2816647.07</v>
      </c>
      <c r="G474" s="7">
        <v>0</v>
      </c>
      <c r="H474" s="7">
        <v>-79831.929999999993</v>
      </c>
      <c r="I474" s="7">
        <v>2736815.14</v>
      </c>
      <c r="J474" s="7">
        <v>128500</v>
      </c>
      <c r="K474" s="7">
        <v>0</v>
      </c>
      <c r="L474" s="7">
        <v>510684.86</v>
      </c>
      <c r="M474" s="7">
        <v>3376000</v>
      </c>
      <c r="N474" s="7">
        <v>4621.8500000000004</v>
      </c>
      <c r="O474" s="7">
        <v>2732193.29</v>
      </c>
      <c r="P474" s="7">
        <v>831684</v>
      </c>
      <c r="Q474" s="7">
        <v>1900509.29</v>
      </c>
      <c r="R474" s="7">
        <v>0</v>
      </c>
      <c r="S474" s="7">
        <v>48</v>
      </c>
      <c r="T474" s="7">
        <v>0</v>
      </c>
      <c r="U474" s="7">
        <v>0</v>
      </c>
      <c r="V474" s="9">
        <v>46189.853409826392</v>
      </c>
    </row>
    <row r="475" spans="1:22" x14ac:dyDescent="0.2">
      <c r="A475" s="8">
        <v>45917</v>
      </c>
      <c r="B475" s="7">
        <v>7</v>
      </c>
      <c r="C475" s="7">
        <v>2.9</v>
      </c>
      <c r="D475" s="7">
        <v>103481.39200000001</v>
      </c>
      <c r="E475" s="7">
        <v>0</v>
      </c>
      <c r="F475" s="7">
        <v>1035294.12</v>
      </c>
      <c r="G475" s="7">
        <v>0</v>
      </c>
      <c r="H475" s="7">
        <v>0</v>
      </c>
      <c r="I475" s="7">
        <v>1035294.12</v>
      </c>
      <c r="J475" s="7">
        <v>41500</v>
      </c>
      <c r="K475" s="7">
        <v>0</v>
      </c>
      <c r="L475" s="7">
        <v>196705.88</v>
      </c>
      <c r="M475" s="7">
        <v>1273500</v>
      </c>
      <c r="N475" s="7">
        <v>0</v>
      </c>
      <c r="O475" s="7">
        <v>1035294.12</v>
      </c>
      <c r="P475" s="7">
        <v>319680</v>
      </c>
      <c r="Q475" s="7">
        <v>715614.12</v>
      </c>
      <c r="R475" s="7">
        <v>100000</v>
      </c>
      <c r="S475" s="7">
        <v>26</v>
      </c>
      <c r="T475" s="7">
        <v>0</v>
      </c>
      <c r="U475" s="7">
        <v>100000</v>
      </c>
      <c r="V475" s="9">
        <v>46189.853409826392</v>
      </c>
    </row>
    <row r="476" spans="1:22" x14ac:dyDescent="0.2">
      <c r="A476" s="8">
        <v>45918</v>
      </c>
      <c r="B476" s="7">
        <v>20</v>
      </c>
      <c r="C476" s="7">
        <v>3</v>
      </c>
      <c r="D476" s="7">
        <v>152521.42800000001</v>
      </c>
      <c r="E476" s="7">
        <v>0</v>
      </c>
      <c r="F476" s="7">
        <v>3159672.26</v>
      </c>
      <c r="G476" s="7">
        <v>-25210.080000000002</v>
      </c>
      <c r="H476" s="7">
        <v>0</v>
      </c>
      <c r="I476" s="7">
        <v>3134462.18</v>
      </c>
      <c r="J476" s="7">
        <v>147500</v>
      </c>
      <c r="K476" s="7">
        <v>0</v>
      </c>
      <c r="L476" s="7">
        <v>590037.81999999995</v>
      </c>
      <c r="M476" s="7">
        <v>3872000</v>
      </c>
      <c r="N476" s="7">
        <v>277310.92</v>
      </c>
      <c r="O476" s="7">
        <v>2857151.26</v>
      </c>
      <c r="P476" s="7">
        <v>876654</v>
      </c>
      <c r="Q476" s="7">
        <v>1980497.26</v>
      </c>
      <c r="R476" s="7">
        <v>0</v>
      </c>
      <c r="S476" s="7">
        <v>62</v>
      </c>
      <c r="T476" s="7">
        <v>0</v>
      </c>
      <c r="U476" s="7">
        <v>0</v>
      </c>
      <c r="V476" s="9">
        <v>46189.853409826392</v>
      </c>
    </row>
    <row r="477" spans="1:22" x14ac:dyDescent="0.2">
      <c r="A477" s="8">
        <v>45919</v>
      </c>
      <c r="B477" s="7">
        <v>27</v>
      </c>
      <c r="C477" s="7">
        <v>3</v>
      </c>
      <c r="D477" s="7">
        <v>162558.356</v>
      </c>
      <c r="E477" s="7">
        <v>0</v>
      </c>
      <c r="F477" s="7">
        <v>4422268.8899999997</v>
      </c>
      <c r="G477" s="7">
        <v>-33193.26</v>
      </c>
      <c r="H477" s="7">
        <v>0</v>
      </c>
      <c r="I477" s="7">
        <v>4389075.63</v>
      </c>
      <c r="J477" s="7">
        <v>262000</v>
      </c>
      <c r="K477" s="7">
        <v>0</v>
      </c>
      <c r="L477" s="7">
        <v>833924.37</v>
      </c>
      <c r="M477" s="7">
        <v>5485000</v>
      </c>
      <c r="N477" s="7">
        <v>75630.25</v>
      </c>
      <c r="O477" s="7">
        <v>4313445.38</v>
      </c>
      <c r="P477" s="7">
        <v>1288865</v>
      </c>
      <c r="Q477" s="7">
        <v>3024580.38</v>
      </c>
      <c r="R477" s="7">
        <v>100000</v>
      </c>
      <c r="S477" s="7">
        <v>80</v>
      </c>
      <c r="T477" s="7">
        <v>0</v>
      </c>
      <c r="U477" s="7">
        <v>100000</v>
      </c>
      <c r="V477" s="9">
        <v>46189.853409826392</v>
      </c>
    </row>
    <row r="478" spans="1:22" x14ac:dyDescent="0.2">
      <c r="A478" s="8">
        <v>45920</v>
      </c>
      <c r="B478" s="7">
        <v>21</v>
      </c>
      <c r="C478" s="7">
        <v>3.5</v>
      </c>
      <c r="D478" s="7">
        <v>171470.609</v>
      </c>
      <c r="E478" s="7">
        <v>0</v>
      </c>
      <c r="F478" s="7">
        <v>3667489.37</v>
      </c>
      <c r="G478" s="7">
        <v>-66606.570000000007</v>
      </c>
      <c r="H478" s="7">
        <v>0</v>
      </c>
      <c r="I478" s="7">
        <v>3600882.8</v>
      </c>
      <c r="J478" s="7">
        <v>62500</v>
      </c>
      <c r="K478" s="7">
        <v>0</v>
      </c>
      <c r="L478" s="7">
        <v>609019.19999999995</v>
      </c>
      <c r="M478" s="7">
        <v>4272402</v>
      </c>
      <c r="N478" s="7">
        <v>76052.42</v>
      </c>
      <c r="O478" s="7">
        <v>3524830.38</v>
      </c>
      <c r="P478" s="7">
        <v>1322546</v>
      </c>
      <c r="Q478" s="7">
        <v>2202284.38</v>
      </c>
      <c r="R478" s="7">
        <v>0</v>
      </c>
      <c r="S478" s="7">
        <v>74</v>
      </c>
      <c r="T478" s="7">
        <v>0</v>
      </c>
      <c r="U478" s="7">
        <v>0</v>
      </c>
      <c r="V478" s="9">
        <v>46189.853409826392</v>
      </c>
    </row>
    <row r="479" spans="1:22" x14ac:dyDescent="0.2">
      <c r="A479" s="8">
        <v>45921</v>
      </c>
      <c r="B479" s="7">
        <v>15</v>
      </c>
      <c r="C479" s="7">
        <v>3.3</v>
      </c>
      <c r="D479" s="7">
        <v>118960.784</v>
      </c>
      <c r="E479" s="7">
        <v>-2</v>
      </c>
      <c r="F479" s="7">
        <v>2023907.57</v>
      </c>
      <c r="G479" s="7">
        <v>0</v>
      </c>
      <c r="H479" s="7">
        <v>-126050.42</v>
      </c>
      <c r="I479" s="7">
        <v>1897857.15</v>
      </c>
      <c r="J479" s="7">
        <v>-47000</v>
      </c>
      <c r="K479" s="7">
        <v>0</v>
      </c>
      <c r="L479" s="7">
        <v>350142.85</v>
      </c>
      <c r="M479" s="7">
        <v>2201000</v>
      </c>
      <c r="N479" s="7">
        <v>81050.42</v>
      </c>
      <c r="O479" s="7">
        <v>1816806.73</v>
      </c>
      <c r="P479" s="7">
        <v>640243</v>
      </c>
      <c r="Q479" s="7">
        <v>1176563.73</v>
      </c>
      <c r="R479" s="7">
        <v>0</v>
      </c>
      <c r="S479" s="7">
        <v>51</v>
      </c>
      <c r="T479" s="7">
        <v>0</v>
      </c>
      <c r="U479" s="7">
        <v>0</v>
      </c>
      <c r="V479" s="9">
        <v>46189.853409826392</v>
      </c>
    </row>
    <row r="480" spans="1:22" x14ac:dyDescent="0.2">
      <c r="A480" s="8">
        <v>45922</v>
      </c>
      <c r="B480" s="7">
        <v>17</v>
      </c>
      <c r="C480" s="7">
        <v>2.4</v>
      </c>
      <c r="D480" s="7">
        <v>153954.522</v>
      </c>
      <c r="E480" s="7">
        <v>-2</v>
      </c>
      <c r="F480" s="7">
        <v>2802100.8</v>
      </c>
      <c r="G480" s="7">
        <v>-50420.13</v>
      </c>
      <c r="H480" s="7">
        <v>-142857.14000000001</v>
      </c>
      <c r="I480" s="7">
        <v>2608823.5299999998</v>
      </c>
      <c r="J480" s="7">
        <v>80500</v>
      </c>
      <c r="K480" s="7">
        <v>0</v>
      </c>
      <c r="L480" s="7">
        <v>495676.47</v>
      </c>
      <c r="M480" s="7">
        <v>3185000</v>
      </c>
      <c r="N480" s="7">
        <v>-71428.570000000007</v>
      </c>
      <c r="O480" s="7">
        <v>2680252.1</v>
      </c>
      <c r="P480" s="7">
        <v>925066</v>
      </c>
      <c r="Q480" s="7">
        <v>1755186.1</v>
      </c>
      <c r="R480" s="7">
        <v>0</v>
      </c>
      <c r="S480" s="7">
        <v>40</v>
      </c>
      <c r="T480" s="7">
        <v>0</v>
      </c>
      <c r="U480" s="7">
        <v>0</v>
      </c>
      <c r="V480" s="9">
        <v>46189.853409826392</v>
      </c>
    </row>
    <row r="481" spans="1:22" x14ac:dyDescent="0.2">
      <c r="A481" s="8">
        <v>45923</v>
      </c>
      <c r="B481" s="7">
        <v>19</v>
      </c>
      <c r="C481" s="7">
        <v>2.2999999999999998</v>
      </c>
      <c r="D481" s="7">
        <v>162759.84099999999</v>
      </c>
      <c r="E481" s="7">
        <v>-6</v>
      </c>
      <c r="F481" s="7">
        <v>3235294.13</v>
      </c>
      <c r="G481" s="7">
        <v>0</v>
      </c>
      <c r="H481" s="7">
        <v>-656260.5</v>
      </c>
      <c r="I481" s="7">
        <v>2579033.63</v>
      </c>
      <c r="J481" s="7">
        <v>48000</v>
      </c>
      <c r="K481" s="7">
        <v>0</v>
      </c>
      <c r="L481" s="7">
        <v>490966.37</v>
      </c>
      <c r="M481" s="7">
        <v>3118000</v>
      </c>
      <c r="N481" s="7">
        <v>0</v>
      </c>
      <c r="O481" s="7">
        <v>2584033.63</v>
      </c>
      <c r="P481" s="7">
        <v>804756</v>
      </c>
      <c r="Q481" s="7">
        <v>1779277.63</v>
      </c>
      <c r="R481" s="7">
        <v>0</v>
      </c>
      <c r="S481" s="7">
        <v>38</v>
      </c>
      <c r="T481" s="7">
        <v>0</v>
      </c>
      <c r="U481" s="7">
        <v>0</v>
      </c>
      <c r="V481" s="9">
        <v>46189.853409826392</v>
      </c>
    </row>
    <row r="482" spans="1:22" x14ac:dyDescent="0.2">
      <c r="A482" s="8">
        <v>45924</v>
      </c>
      <c r="B482" s="7">
        <v>18</v>
      </c>
      <c r="C482" s="7">
        <v>4.0999999999999996</v>
      </c>
      <c r="D482" s="7">
        <v>183580.29800000001</v>
      </c>
      <c r="E482" s="7">
        <v>0</v>
      </c>
      <c r="F482" s="7">
        <v>3536798.31</v>
      </c>
      <c r="G482" s="7">
        <v>-13865.54</v>
      </c>
      <c r="H482" s="7">
        <v>0</v>
      </c>
      <c r="I482" s="7">
        <v>3522932.77</v>
      </c>
      <c r="J482" s="7">
        <v>198000</v>
      </c>
      <c r="K482" s="7">
        <v>0</v>
      </c>
      <c r="L482" s="7">
        <v>471567.23</v>
      </c>
      <c r="M482" s="7">
        <v>4192500</v>
      </c>
      <c r="N482" s="7">
        <v>156000</v>
      </c>
      <c r="O482" s="7">
        <v>3366932.77</v>
      </c>
      <c r="P482" s="7">
        <v>1155047</v>
      </c>
      <c r="Q482" s="7">
        <v>2211885.77</v>
      </c>
      <c r="R482" s="7">
        <v>0</v>
      </c>
      <c r="S482" s="7">
        <v>75</v>
      </c>
      <c r="T482" s="7">
        <v>0</v>
      </c>
      <c r="U482" s="7">
        <v>0</v>
      </c>
      <c r="V482" s="9">
        <v>46189.853409826392</v>
      </c>
    </row>
    <row r="483" spans="1:22" x14ac:dyDescent="0.2">
      <c r="A483" s="8">
        <v>45925</v>
      </c>
      <c r="B483" s="7">
        <v>24</v>
      </c>
      <c r="C483" s="7">
        <v>2.2000000000000002</v>
      </c>
      <c r="D483" s="7">
        <v>149601.541</v>
      </c>
      <c r="E483" s="7">
        <v>-1</v>
      </c>
      <c r="F483" s="7">
        <v>3590437</v>
      </c>
      <c r="G483" s="7">
        <v>0</v>
      </c>
      <c r="H483" s="7">
        <v>-84033.61</v>
      </c>
      <c r="I483" s="7">
        <v>3506403.39</v>
      </c>
      <c r="J483" s="7">
        <v>27000</v>
      </c>
      <c r="K483" s="7">
        <v>0</v>
      </c>
      <c r="L483" s="7">
        <v>647596.61</v>
      </c>
      <c r="M483" s="7">
        <v>4181000</v>
      </c>
      <c r="N483" s="7">
        <v>0</v>
      </c>
      <c r="O483" s="7">
        <v>3506403.39</v>
      </c>
      <c r="P483" s="7">
        <v>1133878</v>
      </c>
      <c r="Q483" s="7">
        <v>2372525.39</v>
      </c>
      <c r="R483" s="7">
        <v>0</v>
      </c>
      <c r="S483" s="7">
        <v>52</v>
      </c>
      <c r="T483" s="7">
        <v>0</v>
      </c>
      <c r="U483" s="7">
        <v>0</v>
      </c>
      <c r="V483" s="9">
        <v>46189.853409826392</v>
      </c>
    </row>
    <row r="484" spans="1:22" x14ac:dyDescent="0.2">
      <c r="A484" s="8">
        <v>45926</v>
      </c>
      <c r="B484" s="7">
        <v>21</v>
      </c>
      <c r="C484" s="7">
        <v>2.2000000000000002</v>
      </c>
      <c r="D484" s="7">
        <v>144317.76800000001</v>
      </c>
      <c r="E484" s="7">
        <v>-1</v>
      </c>
      <c r="F484" s="7">
        <v>3030673.13</v>
      </c>
      <c r="G484" s="7">
        <v>0</v>
      </c>
      <c r="H484" s="7">
        <v>-218487.39</v>
      </c>
      <c r="I484" s="7">
        <v>2812185.74</v>
      </c>
      <c r="J484" s="7">
        <v>132500</v>
      </c>
      <c r="K484" s="7">
        <v>0</v>
      </c>
      <c r="L484" s="7">
        <v>534315.26</v>
      </c>
      <c r="M484" s="7">
        <v>3479001</v>
      </c>
      <c r="N484" s="7">
        <v>0</v>
      </c>
      <c r="O484" s="7">
        <v>2812185.74</v>
      </c>
      <c r="P484" s="7">
        <v>796221</v>
      </c>
      <c r="Q484" s="7">
        <v>2015964.74</v>
      </c>
      <c r="R484" s="7">
        <v>0</v>
      </c>
      <c r="S484" s="7">
        <v>45</v>
      </c>
      <c r="T484" s="7">
        <v>0</v>
      </c>
      <c r="U484" s="7">
        <v>0</v>
      </c>
      <c r="V484" s="9">
        <v>46189.853409826392</v>
      </c>
    </row>
    <row r="485" spans="1:22" x14ac:dyDescent="0.2">
      <c r="A485" s="8">
        <v>45927</v>
      </c>
      <c r="B485" s="7">
        <v>30</v>
      </c>
      <c r="C485" s="7">
        <v>2.1</v>
      </c>
      <c r="D485" s="7">
        <v>142508.96299999999</v>
      </c>
      <c r="E485" s="7">
        <v>0</v>
      </c>
      <c r="F485" s="7">
        <v>4275268.91</v>
      </c>
      <c r="G485" s="7">
        <v>0</v>
      </c>
      <c r="H485" s="7">
        <v>0</v>
      </c>
      <c r="I485" s="7">
        <v>4275268.91</v>
      </c>
      <c r="J485" s="7">
        <v>50500</v>
      </c>
      <c r="K485" s="7">
        <v>0</v>
      </c>
      <c r="L485" s="7">
        <v>764231.09</v>
      </c>
      <c r="M485" s="7">
        <v>5090000</v>
      </c>
      <c r="N485" s="7">
        <v>192436.98</v>
      </c>
      <c r="O485" s="7">
        <v>4082831.93</v>
      </c>
      <c r="P485" s="7">
        <v>1255875</v>
      </c>
      <c r="Q485" s="7">
        <v>2826956.93</v>
      </c>
      <c r="R485" s="7">
        <v>0</v>
      </c>
      <c r="S485" s="7">
        <v>63</v>
      </c>
      <c r="T485" s="7">
        <v>0</v>
      </c>
      <c r="U485" s="7">
        <v>0</v>
      </c>
      <c r="V485" s="9">
        <v>46189.853409826392</v>
      </c>
    </row>
    <row r="486" spans="1:22" x14ac:dyDescent="0.2">
      <c r="A486" s="8">
        <v>45928</v>
      </c>
      <c r="B486" s="7">
        <v>16</v>
      </c>
      <c r="C486" s="7">
        <v>2.2000000000000002</v>
      </c>
      <c r="D486" s="7">
        <v>137526.261</v>
      </c>
      <c r="E486" s="7">
        <v>0</v>
      </c>
      <c r="F486" s="7">
        <v>2200420.1800000002</v>
      </c>
      <c r="G486" s="7">
        <v>0</v>
      </c>
      <c r="H486" s="7">
        <v>0</v>
      </c>
      <c r="I486" s="7">
        <v>2200420.1800000002</v>
      </c>
      <c r="J486" s="7">
        <v>47000</v>
      </c>
      <c r="K486" s="7">
        <v>0</v>
      </c>
      <c r="L486" s="7">
        <v>418079.82</v>
      </c>
      <c r="M486" s="7">
        <v>2665500</v>
      </c>
      <c r="N486" s="7">
        <v>75630.259999999995</v>
      </c>
      <c r="O486" s="7">
        <v>2124789.92</v>
      </c>
      <c r="P486" s="7">
        <v>601053</v>
      </c>
      <c r="Q486" s="7">
        <v>1523736.92</v>
      </c>
      <c r="R486" s="7">
        <v>0</v>
      </c>
      <c r="S486" s="7">
        <v>36</v>
      </c>
      <c r="T486" s="7">
        <v>0</v>
      </c>
      <c r="U486" s="7">
        <v>0</v>
      </c>
      <c r="V486" s="9">
        <v>46189.853409826392</v>
      </c>
    </row>
    <row r="487" spans="1:22" x14ac:dyDescent="0.2">
      <c r="A487" s="8">
        <v>45929</v>
      </c>
      <c r="B487" s="7">
        <v>20</v>
      </c>
      <c r="C487" s="7">
        <v>10.4</v>
      </c>
      <c r="D487" s="7">
        <v>528865.54599999997</v>
      </c>
      <c r="E487" s="7">
        <v>-307</v>
      </c>
      <c r="F487" s="7">
        <v>13594958</v>
      </c>
      <c r="G487" s="7">
        <v>-50420.160000000003</v>
      </c>
      <c r="H487" s="7">
        <v>-5442437</v>
      </c>
      <c r="I487" s="7">
        <v>8102100.8399999999</v>
      </c>
      <c r="J487" s="7">
        <v>74000</v>
      </c>
      <c r="K487" s="7">
        <v>0</v>
      </c>
      <c r="L487" s="7">
        <v>1539399.16</v>
      </c>
      <c r="M487" s="7">
        <v>9715500</v>
      </c>
      <c r="N487" s="7">
        <v>-7563.03</v>
      </c>
      <c r="O487" s="7">
        <v>8109663.8700000001</v>
      </c>
      <c r="P487" s="7">
        <v>2275429</v>
      </c>
      <c r="Q487" s="7">
        <v>5834234.8700000001</v>
      </c>
      <c r="R487" s="7">
        <v>0</v>
      </c>
      <c r="S487" s="7">
        <v>69</v>
      </c>
      <c r="T487" s="7">
        <v>0</v>
      </c>
      <c r="U487" s="7">
        <v>0</v>
      </c>
      <c r="V487" s="9">
        <v>46189.853409826392</v>
      </c>
    </row>
    <row r="488" spans="1:22" x14ac:dyDescent="0.2">
      <c r="A488" s="8">
        <v>45930</v>
      </c>
      <c r="B488" s="7">
        <v>21</v>
      </c>
      <c r="C488" s="7">
        <v>2.2000000000000002</v>
      </c>
      <c r="D488" s="7">
        <v>176950.78</v>
      </c>
      <c r="E488" s="7">
        <v>-2</v>
      </c>
      <c r="F488" s="7">
        <v>4025630.25</v>
      </c>
      <c r="G488" s="7">
        <v>-204033.61</v>
      </c>
      <c r="H488" s="7">
        <v>-100840.33</v>
      </c>
      <c r="I488" s="7">
        <v>3720756.31</v>
      </c>
      <c r="J488" s="7">
        <v>23500</v>
      </c>
      <c r="K488" s="7">
        <v>0</v>
      </c>
      <c r="L488" s="7">
        <v>701243.69</v>
      </c>
      <c r="M488" s="7">
        <v>4445500</v>
      </c>
      <c r="N488" s="7">
        <v>126050.42</v>
      </c>
      <c r="O488" s="7">
        <v>3594705.89</v>
      </c>
      <c r="P488" s="7">
        <v>1104118</v>
      </c>
      <c r="Q488" s="7">
        <v>2490587.89</v>
      </c>
      <c r="R488" s="7">
        <v>0</v>
      </c>
      <c r="S488" s="7">
        <v>47</v>
      </c>
      <c r="T488" s="7">
        <v>0</v>
      </c>
      <c r="U488" s="7">
        <v>0</v>
      </c>
      <c r="V488" s="9">
        <v>46189.853409826392</v>
      </c>
    </row>
    <row r="489" spans="1:22" x14ac:dyDescent="0.2">
      <c r="A489" s="8">
        <v>45931</v>
      </c>
      <c r="B489" s="7">
        <v>20</v>
      </c>
      <c r="C489" s="7">
        <v>7</v>
      </c>
      <c r="D489" s="7">
        <v>191015.21100000001</v>
      </c>
      <c r="E489" s="7">
        <v>-3</v>
      </c>
      <c r="F489" s="7">
        <v>4195462.1900000004</v>
      </c>
      <c r="G489" s="7">
        <v>-81040.320000000007</v>
      </c>
      <c r="H489" s="7">
        <v>-214285.72</v>
      </c>
      <c r="I489" s="7">
        <v>3900136.15</v>
      </c>
      <c r="J489" s="7">
        <v>175000</v>
      </c>
      <c r="K489" s="7">
        <v>0</v>
      </c>
      <c r="L489" s="7">
        <v>723925.85</v>
      </c>
      <c r="M489" s="7">
        <v>4799062</v>
      </c>
      <c r="N489" s="7">
        <v>0</v>
      </c>
      <c r="O489" s="7">
        <v>3900136.15</v>
      </c>
      <c r="P489" s="7">
        <v>1088932</v>
      </c>
      <c r="Q489" s="7">
        <v>2811204.15</v>
      </c>
      <c r="R489" s="7">
        <v>100000</v>
      </c>
      <c r="S489" s="7">
        <v>143</v>
      </c>
      <c r="T489" s="7">
        <v>0</v>
      </c>
      <c r="U489" s="7">
        <v>100000</v>
      </c>
      <c r="V489" s="9">
        <v>46189.853409826392</v>
      </c>
    </row>
    <row r="490" spans="1:22" x14ac:dyDescent="0.2">
      <c r="A490" s="8">
        <v>45932</v>
      </c>
      <c r="B490" s="7">
        <v>11</v>
      </c>
      <c r="C490" s="7">
        <v>1.8</v>
      </c>
      <c r="D490" s="7">
        <v>106875.477</v>
      </c>
      <c r="E490" s="7">
        <v>0</v>
      </c>
      <c r="F490" s="7">
        <v>1175630.25</v>
      </c>
      <c r="G490" s="7">
        <v>0</v>
      </c>
      <c r="H490" s="7">
        <v>0</v>
      </c>
      <c r="I490" s="7">
        <v>1175630.25</v>
      </c>
      <c r="J490" s="7">
        <v>0</v>
      </c>
      <c r="K490" s="7">
        <v>0</v>
      </c>
      <c r="L490" s="7">
        <v>223369.75</v>
      </c>
      <c r="M490" s="7">
        <v>1399000</v>
      </c>
      <c r="N490" s="7">
        <v>0</v>
      </c>
      <c r="O490" s="7">
        <v>1175630.25</v>
      </c>
      <c r="P490" s="7">
        <v>314764</v>
      </c>
      <c r="Q490" s="7">
        <v>860866.25</v>
      </c>
      <c r="R490" s="7">
        <v>0</v>
      </c>
      <c r="S490" s="7">
        <v>20</v>
      </c>
      <c r="T490" s="7">
        <v>0</v>
      </c>
      <c r="U490" s="7">
        <v>0</v>
      </c>
      <c r="V490" s="9">
        <v>46189.853409826392</v>
      </c>
    </row>
    <row r="491" spans="1:22" x14ac:dyDescent="0.2">
      <c r="A491" s="8">
        <v>45933</v>
      </c>
      <c r="B491" s="7">
        <v>19</v>
      </c>
      <c r="C491" s="7">
        <v>1.8</v>
      </c>
      <c r="D491" s="7">
        <v>129588.677</v>
      </c>
      <c r="E491" s="7">
        <v>0</v>
      </c>
      <c r="F491" s="7">
        <v>2462184.88</v>
      </c>
      <c r="G491" s="7">
        <v>0</v>
      </c>
      <c r="H491" s="7">
        <v>0</v>
      </c>
      <c r="I491" s="7">
        <v>2462184.88</v>
      </c>
      <c r="J491" s="7">
        <v>36000</v>
      </c>
      <c r="K491" s="7">
        <v>0</v>
      </c>
      <c r="L491" s="7">
        <v>467815.12</v>
      </c>
      <c r="M491" s="7">
        <v>2966000</v>
      </c>
      <c r="N491" s="7">
        <v>159663.87</v>
      </c>
      <c r="O491" s="7">
        <v>2302521.0099999998</v>
      </c>
      <c r="P491" s="7">
        <v>739085</v>
      </c>
      <c r="Q491" s="7">
        <v>1563436.01</v>
      </c>
      <c r="R491" s="7">
        <v>0</v>
      </c>
      <c r="S491" s="7">
        <v>35</v>
      </c>
      <c r="T491" s="7">
        <v>0</v>
      </c>
      <c r="U491" s="7">
        <v>0</v>
      </c>
      <c r="V491" s="9">
        <v>46189.853409826392</v>
      </c>
    </row>
    <row r="492" spans="1:22" x14ac:dyDescent="0.2">
      <c r="A492" s="8">
        <v>45934</v>
      </c>
      <c r="B492" s="7">
        <v>11</v>
      </c>
      <c r="C492" s="7">
        <v>4.4000000000000004</v>
      </c>
      <c r="D492" s="7">
        <v>191291.06200000001</v>
      </c>
      <c r="E492" s="7">
        <v>-1</v>
      </c>
      <c r="F492" s="7">
        <v>2168907.5699999998</v>
      </c>
      <c r="G492" s="7">
        <v>0</v>
      </c>
      <c r="H492" s="7">
        <v>-18487.39</v>
      </c>
      <c r="I492" s="7">
        <v>2150420.1800000002</v>
      </c>
      <c r="J492" s="7">
        <v>18000</v>
      </c>
      <c r="K492" s="7">
        <v>0</v>
      </c>
      <c r="L492" s="7">
        <v>408579.82</v>
      </c>
      <c r="M492" s="7">
        <v>2577000</v>
      </c>
      <c r="N492" s="7">
        <v>29411.759999999998</v>
      </c>
      <c r="O492" s="7">
        <v>2121008.42</v>
      </c>
      <c r="P492" s="7">
        <v>573397</v>
      </c>
      <c r="Q492" s="7">
        <v>1547611.42</v>
      </c>
      <c r="R492" s="7">
        <v>0</v>
      </c>
      <c r="S492" s="7">
        <v>49</v>
      </c>
      <c r="T492" s="7">
        <v>0</v>
      </c>
      <c r="U492" s="7">
        <v>0</v>
      </c>
      <c r="V492" s="9">
        <v>46189.853409826392</v>
      </c>
    </row>
    <row r="493" spans="1:22" x14ac:dyDescent="0.2">
      <c r="A493" s="8">
        <v>45935</v>
      </c>
      <c r="B493" s="7">
        <v>14</v>
      </c>
      <c r="C493" s="7">
        <v>2</v>
      </c>
      <c r="D493" s="7">
        <v>134372.74799999999</v>
      </c>
      <c r="E493" s="7">
        <v>0</v>
      </c>
      <c r="F493" s="7">
        <v>1881218.48</v>
      </c>
      <c r="G493" s="7">
        <v>0</v>
      </c>
      <c r="H493" s="7">
        <v>0</v>
      </c>
      <c r="I493" s="7">
        <v>1881218.48</v>
      </c>
      <c r="J493" s="7">
        <v>119000</v>
      </c>
      <c r="K493" s="7">
        <v>0</v>
      </c>
      <c r="L493" s="7">
        <v>350781.52</v>
      </c>
      <c r="M493" s="7">
        <v>2351000</v>
      </c>
      <c r="N493" s="7">
        <v>0</v>
      </c>
      <c r="O493" s="7">
        <v>1881218.48</v>
      </c>
      <c r="P493" s="7">
        <v>550722</v>
      </c>
      <c r="Q493" s="7">
        <v>1330496.48</v>
      </c>
      <c r="R493" s="7">
        <v>0</v>
      </c>
      <c r="S493" s="7">
        <v>28</v>
      </c>
      <c r="T493" s="7">
        <v>0</v>
      </c>
      <c r="U493" s="7">
        <v>0</v>
      </c>
      <c r="V493" s="9">
        <v>46189.853409826392</v>
      </c>
    </row>
    <row r="494" spans="1:22" x14ac:dyDescent="0.2">
      <c r="A494" s="8">
        <v>45936</v>
      </c>
      <c r="B494" s="7">
        <v>20</v>
      </c>
      <c r="C494" s="7">
        <v>10</v>
      </c>
      <c r="D494" s="7">
        <v>189726.94</v>
      </c>
      <c r="E494" s="7">
        <v>0</v>
      </c>
      <c r="F494" s="7">
        <v>4078152.25</v>
      </c>
      <c r="G494" s="7">
        <v>-283613.44</v>
      </c>
      <c r="H494" s="7">
        <v>0</v>
      </c>
      <c r="I494" s="7">
        <v>3794538.81</v>
      </c>
      <c r="J494" s="7">
        <v>56000</v>
      </c>
      <c r="K494" s="7">
        <v>0</v>
      </c>
      <c r="L494" s="7">
        <v>720962.19</v>
      </c>
      <c r="M494" s="7">
        <v>4571501</v>
      </c>
      <c r="N494" s="7">
        <v>1607143.86</v>
      </c>
      <c r="O494" s="7">
        <v>2187394.9500000002</v>
      </c>
      <c r="P494" s="7">
        <v>689534</v>
      </c>
      <c r="Q494" s="7">
        <v>1497860.95</v>
      </c>
      <c r="R494" s="7">
        <v>0</v>
      </c>
      <c r="S494" s="7">
        <v>199</v>
      </c>
      <c r="T494" s="7">
        <v>0</v>
      </c>
      <c r="U494" s="7">
        <v>0</v>
      </c>
      <c r="V494" s="9">
        <v>46189.853409826392</v>
      </c>
    </row>
    <row r="495" spans="1:22" x14ac:dyDescent="0.2">
      <c r="A495" s="8">
        <v>45937</v>
      </c>
      <c r="B495" s="7">
        <v>12</v>
      </c>
      <c r="C495" s="7">
        <v>2.2999999999999998</v>
      </c>
      <c r="D495" s="7">
        <v>116176.47</v>
      </c>
      <c r="E495" s="7">
        <v>-1</v>
      </c>
      <c r="F495" s="7">
        <v>1550420.17</v>
      </c>
      <c r="G495" s="7">
        <v>0</v>
      </c>
      <c r="H495" s="7">
        <v>-124369.75</v>
      </c>
      <c r="I495" s="7">
        <v>1426050.42</v>
      </c>
      <c r="J495" s="7">
        <v>59000</v>
      </c>
      <c r="K495" s="7">
        <v>0</v>
      </c>
      <c r="L495" s="7">
        <v>270949.58</v>
      </c>
      <c r="M495" s="7">
        <v>1756000</v>
      </c>
      <c r="N495" s="7">
        <v>0</v>
      </c>
      <c r="O495" s="7">
        <v>1426050.42</v>
      </c>
      <c r="P495" s="7">
        <v>403217</v>
      </c>
      <c r="Q495" s="7">
        <v>1022833.42</v>
      </c>
      <c r="R495" s="7">
        <v>0</v>
      </c>
      <c r="S495" s="7">
        <v>28</v>
      </c>
      <c r="T495" s="7">
        <v>0</v>
      </c>
      <c r="U495" s="7">
        <v>0</v>
      </c>
      <c r="V495" s="9">
        <v>46189.853409826392</v>
      </c>
    </row>
    <row r="496" spans="1:22" x14ac:dyDescent="0.2">
      <c r="A496" s="8">
        <v>45938</v>
      </c>
      <c r="B496" s="7">
        <v>14</v>
      </c>
      <c r="C496" s="7">
        <v>1.8</v>
      </c>
      <c r="D496" s="7">
        <v>96221.487999999998</v>
      </c>
      <c r="E496" s="7">
        <v>0</v>
      </c>
      <c r="F496" s="7">
        <v>1377100.84</v>
      </c>
      <c r="G496" s="7">
        <v>0</v>
      </c>
      <c r="H496" s="7">
        <v>0</v>
      </c>
      <c r="I496" s="7">
        <v>1377100.84</v>
      </c>
      <c r="J496" s="7">
        <v>50500</v>
      </c>
      <c r="K496" s="7">
        <v>0</v>
      </c>
      <c r="L496" s="7">
        <v>247399.16</v>
      </c>
      <c r="M496" s="7">
        <v>1675000</v>
      </c>
      <c r="N496" s="7">
        <v>0</v>
      </c>
      <c r="O496" s="7">
        <v>1377100.84</v>
      </c>
      <c r="P496" s="7">
        <v>413793</v>
      </c>
      <c r="Q496" s="7">
        <v>963307.84</v>
      </c>
      <c r="R496" s="7">
        <v>0</v>
      </c>
      <c r="S496" s="7">
        <v>26</v>
      </c>
      <c r="T496" s="7">
        <v>0</v>
      </c>
      <c r="U496" s="7">
        <v>0</v>
      </c>
      <c r="V496" s="9">
        <v>46189.853409826392</v>
      </c>
    </row>
    <row r="497" spans="1:22" x14ac:dyDescent="0.2">
      <c r="A497" s="8">
        <v>45939</v>
      </c>
      <c r="B497" s="7">
        <v>19</v>
      </c>
      <c r="C497" s="7">
        <v>2.1</v>
      </c>
      <c r="D497" s="7">
        <v>117700.177</v>
      </c>
      <c r="E497" s="7">
        <v>0</v>
      </c>
      <c r="F497" s="7">
        <v>2236303.37</v>
      </c>
      <c r="G497" s="7">
        <v>0</v>
      </c>
      <c r="H497" s="7">
        <v>0</v>
      </c>
      <c r="I497" s="7">
        <v>2236303.37</v>
      </c>
      <c r="J497" s="7">
        <v>33500</v>
      </c>
      <c r="K497" s="7">
        <v>0</v>
      </c>
      <c r="L497" s="7">
        <v>419197.63</v>
      </c>
      <c r="M497" s="7">
        <v>2689001</v>
      </c>
      <c r="N497" s="7">
        <v>0.84</v>
      </c>
      <c r="O497" s="7">
        <v>2236302.5299999998</v>
      </c>
      <c r="P497" s="7">
        <v>678608</v>
      </c>
      <c r="Q497" s="7">
        <v>1557694.53</v>
      </c>
      <c r="R497" s="7">
        <v>0</v>
      </c>
      <c r="S497" s="7">
        <v>40</v>
      </c>
      <c r="T497" s="7">
        <v>0</v>
      </c>
      <c r="U497" s="7">
        <v>0</v>
      </c>
      <c r="V497" s="9">
        <v>46189.853409826392</v>
      </c>
    </row>
    <row r="498" spans="1:22" x14ac:dyDescent="0.2">
      <c r="A498" s="8">
        <v>45940</v>
      </c>
      <c r="B498" s="7">
        <v>17</v>
      </c>
      <c r="C498" s="7">
        <v>3.7</v>
      </c>
      <c r="D498" s="7">
        <v>239271.87299999999</v>
      </c>
      <c r="E498" s="7">
        <v>0</v>
      </c>
      <c r="F498" s="7">
        <v>4239050.4000000004</v>
      </c>
      <c r="G498" s="7">
        <v>-171428.55</v>
      </c>
      <c r="H498" s="7">
        <v>0</v>
      </c>
      <c r="I498" s="7">
        <v>4067621.85</v>
      </c>
      <c r="J498" s="7">
        <v>38000</v>
      </c>
      <c r="K498" s="7">
        <v>0</v>
      </c>
      <c r="L498" s="7">
        <v>760878.15</v>
      </c>
      <c r="M498" s="7">
        <v>4866500</v>
      </c>
      <c r="N498" s="7">
        <v>4621.8500000000004</v>
      </c>
      <c r="O498" s="7">
        <v>4063000</v>
      </c>
      <c r="P498" s="7">
        <v>1410816</v>
      </c>
      <c r="Q498" s="7">
        <v>2652184</v>
      </c>
      <c r="R498" s="7">
        <v>0</v>
      </c>
      <c r="S498" s="7">
        <v>63</v>
      </c>
      <c r="T498" s="7">
        <v>0</v>
      </c>
      <c r="U498" s="7">
        <v>0</v>
      </c>
      <c r="V498" s="9">
        <v>46189.853409826392</v>
      </c>
    </row>
    <row r="499" spans="1:22" x14ac:dyDescent="0.2">
      <c r="A499" s="8">
        <v>45941</v>
      </c>
      <c r="B499" s="7">
        <v>13</v>
      </c>
      <c r="C499" s="7">
        <v>2.2000000000000002</v>
      </c>
      <c r="D499" s="7">
        <v>102682.611</v>
      </c>
      <c r="E499" s="7">
        <v>0</v>
      </c>
      <c r="F499" s="7">
        <v>1334873.95</v>
      </c>
      <c r="G499" s="7">
        <v>0</v>
      </c>
      <c r="H499" s="7">
        <v>0</v>
      </c>
      <c r="I499" s="7">
        <v>1334873.95</v>
      </c>
      <c r="J499" s="7">
        <v>9000</v>
      </c>
      <c r="K499" s="7">
        <v>0</v>
      </c>
      <c r="L499" s="7">
        <v>225126.05</v>
      </c>
      <c r="M499" s="7">
        <v>1569000</v>
      </c>
      <c r="N499" s="7">
        <v>0</v>
      </c>
      <c r="O499" s="7">
        <v>1334873.95</v>
      </c>
      <c r="P499" s="7">
        <v>494453</v>
      </c>
      <c r="Q499" s="7">
        <v>840420.95</v>
      </c>
      <c r="R499" s="7">
        <v>0</v>
      </c>
      <c r="S499" s="7">
        <v>29</v>
      </c>
      <c r="T499" s="7">
        <v>0</v>
      </c>
      <c r="U499" s="7">
        <v>0</v>
      </c>
      <c r="V499" s="9">
        <v>46189.853409826392</v>
      </c>
    </row>
    <row r="500" spans="1:22" x14ac:dyDescent="0.2">
      <c r="A500" s="8">
        <v>45942</v>
      </c>
      <c r="B500" s="7">
        <v>22</v>
      </c>
      <c r="C500" s="7">
        <v>1.7</v>
      </c>
      <c r="D500" s="7">
        <v>125072.238</v>
      </c>
      <c r="E500" s="7">
        <v>0</v>
      </c>
      <c r="F500" s="7">
        <v>2751589.24</v>
      </c>
      <c r="G500" s="7">
        <v>0</v>
      </c>
      <c r="H500" s="7">
        <v>0</v>
      </c>
      <c r="I500" s="7">
        <v>2751589.24</v>
      </c>
      <c r="J500" s="7">
        <v>36000</v>
      </c>
      <c r="K500" s="7">
        <v>0</v>
      </c>
      <c r="L500" s="7">
        <v>478911.76</v>
      </c>
      <c r="M500" s="7">
        <v>3266501</v>
      </c>
      <c r="N500" s="7">
        <v>29412.76</v>
      </c>
      <c r="O500" s="7">
        <v>2722176.48</v>
      </c>
      <c r="P500" s="7">
        <v>982358</v>
      </c>
      <c r="Q500" s="7">
        <v>1739818.48</v>
      </c>
      <c r="R500" s="7">
        <v>0</v>
      </c>
      <c r="S500" s="7">
        <v>37</v>
      </c>
      <c r="T500" s="7">
        <v>0</v>
      </c>
      <c r="U500" s="7">
        <v>0</v>
      </c>
      <c r="V500" s="9">
        <v>46189.853409826392</v>
      </c>
    </row>
    <row r="501" spans="1:22" x14ac:dyDescent="0.2">
      <c r="A501" s="8">
        <v>45943</v>
      </c>
      <c r="B501" s="7">
        <v>9</v>
      </c>
      <c r="C501" s="7">
        <v>3.4</v>
      </c>
      <c r="D501" s="7">
        <v>175023.34299999999</v>
      </c>
      <c r="E501" s="7">
        <v>-1</v>
      </c>
      <c r="F501" s="7">
        <v>1646638.66</v>
      </c>
      <c r="G501" s="7">
        <v>0</v>
      </c>
      <c r="H501" s="7">
        <v>-71428.570000000007</v>
      </c>
      <c r="I501" s="7">
        <v>1575210.09</v>
      </c>
      <c r="J501" s="7">
        <v>9000</v>
      </c>
      <c r="K501" s="7">
        <v>0</v>
      </c>
      <c r="L501" s="7">
        <v>299289.90999999997</v>
      </c>
      <c r="M501" s="7">
        <v>1883500</v>
      </c>
      <c r="N501" s="7">
        <v>197478.99</v>
      </c>
      <c r="O501" s="7">
        <v>1377731.1</v>
      </c>
      <c r="P501" s="7">
        <v>530380</v>
      </c>
      <c r="Q501" s="7">
        <v>847351.1</v>
      </c>
      <c r="R501" s="7">
        <v>0</v>
      </c>
      <c r="S501" s="7">
        <v>31</v>
      </c>
      <c r="T501" s="7">
        <v>0</v>
      </c>
      <c r="U501" s="7">
        <v>0</v>
      </c>
      <c r="V501" s="9">
        <v>46189.853409826392</v>
      </c>
    </row>
    <row r="502" spans="1:22" x14ac:dyDescent="0.2">
      <c r="A502" s="8">
        <v>45944</v>
      </c>
      <c r="B502" s="7">
        <v>14</v>
      </c>
      <c r="C502" s="7">
        <v>2.1</v>
      </c>
      <c r="D502" s="7">
        <v>155672.86900000001</v>
      </c>
      <c r="E502" s="7">
        <v>0</v>
      </c>
      <c r="F502" s="7">
        <v>2179420.17</v>
      </c>
      <c r="G502" s="7">
        <v>0</v>
      </c>
      <c r="H502" s="7">
        <v>0</v>
      </c>
      <c r="I502" s="7">
        <v>2179420.17</v>
      </c>
      <c r="J502" s="7">
        <v>23500</v>
      </c>
      <c r="K502" s="7">
        <v>0</v>
      </c>
      <c r="L502" s="7">
        <v>399079.83</v>
      </c>
      <c r="M502" s="7">
        <v>2602000</v>
      </c>
      <c r="N502" s="7">
        <v>4621.8500000000004</v>
      </c>
      <c r="O502" s="7">
        <v>2174798.3199999998</v>
      </c>
      <c r="P502" s="7">
        <v>869809</v>
      </c>
      <c r="Q502" s="7">
        <v>1304989.32</v>
      </c>
      <c r="R502" s="7">
        <v>0</v>
      </c>
      <c r="S502" s="7">
        <v>29</v>
      </c>
      <c r="T502" s="7">
        <v>0</v>
      </c>
      <c r="U502" s="7">
        <v>0</v>
      </c>
      <c r="V502" s="9">
        <v>46189.853409826392</v>
      </c>
    </row>
    <row r="503" spans="1:22" x14ac:dyDescent="0.2">
      <c r="A503" s="8">
        <v>45945</v>
      </c>
      <c r="B503" s="7">
        <v>22</v>
      </c>
      <c r="C503" s="7">
        <v>2.2999999999999998</v>
      </c>
      <c r="D503" s="7">
        <v>151199.77100000001</v>
      </c>
      <c r="E503" s="7">
        <v>0</v>
      </c>
      <c r="F503" s="7">
        <v>3375302.52</v>
      </c>
      <c r="G503" s="7">
        <v>-18907.55</v>
      </c>
      <c r="H503" s="7">
        <v>0</v>
      </c>
      <c r="I503" s="7">
        <v>3356394.97</v>
      </c>
      <c r="J503" s="7">
        <v>95500</v>
      </c>
      <c r="K503" s="7">
        <v>0</v>
      </c>
      <c r="L503" s="7">
        <v>596105.03</v>
      </c>
      <c r="M503" s="7">
        <v>4048000</v>
      </c>
      <c r="N503" s="7">
        <v>478327.73</v>
      </c>
      <c r="O503" s="7">
        <v>2878067.24</v>
      </c>
      <c r="P503" s="7">
        <v>937734</v>
      </c>
      <c r="Q503" s="7">
        <v>1940333.24</v>
      </c>
      <c r="R503" s="7">
        <v>200000</v>
      </c>
      <c r="S503" s="7">
        <v>52</v>
      </c>
      <c r="T503" s="7">
        <v>0</v>
      </c>
      <c r="U503" s="7">
        <v>200000</v>
      </c>
      <c r="V503" s="9">
        <v>46189.853409826392</v>
      </c>
    </row>
    <row r="504" spans="1:22" x14ac:dyDescent="0.2">
      <c r="A504" s="8">
        <v>45946</v>
      </c>
      <c r="B504" s="7">
        <v>15</v>
      </c>
      <c r="C504" s="7">
        <v>5.7</v>
      </c>
      <c r="D504" s="7">
        <v>408151.261</v>
      </c>
      <c r="E504" s="7">
        <v>0</v>
      </c>
      <c r="F504" s="7">
        <v>6617647.04</v>
      </c>
      <c r="G504" s="7">
        <v>-495378.12</v>
      </c>
      <c r="H504" s="7">
        <v>0</v>
      </c>
      <c r="I504" s="7">
        <v>6122268.9199999999</v>
      </c>
      <c r="J504" s="7">
        <v>50500</v>
      </c>
      <c r="K504" s="7">
        <v>0</v>
      </c>
      <c r="L504" s="7">
        <v>1163231.08</v>
      </c>
      <c r="M504" s="7">
        <v>7336000</v>
      </c>
      <c r="N504" s="7">
        <v>420168.07</v>
      </c>
      <c r="O504" s="7">
        <v>5702100.8499999996</v>
      </c>
      <c r="P504" s="7">
        <v>1941438</v>
      </c>
      <c r="Q504" s="7">
        <v>3760662.85</v>
      </c>
      <c r="R504" s="7">
        <v>0</v>
      </c>
      <c r="S504" s="7">
        <v>85</v>
      </c>
      <c r="T504" s="7">
        <v>0</v>
      </c>
      <c r="U504" s="7">
        <v>0</v>
      </c>
      <c r="V504" s="9">
        <v>46189.853409826392</v>
      </c>
    </row>
    <row r="505" spans="1:22" x14ac:dyDescent="0.2">
      <c r="A505" s="8">
        <v>45947</v>
      </c>
      <c r="B505" s="7">
        <v>16</v>
      </c>
      <c r="C505" s="7">
        <v>2.1</v>
      </c>
      <c r="D505" s="7">
        <v>119748.424</v>
      </c>
      <c r="E505" s="7">
        <v>-3</v>
      </c>
      <c r="F505" s="7">
        <v>1980680.67</v>
      </c>
      <c r="G505" s="7">
        <v>-10084.030000000001</v>
      </c>
      <c r="H505" s="7">
        <v>-163865.54999999999</v>
      </c>
      <c r="I505" s="7">
        <v>1806731.09</v>
      </c>
      <c r="J505" s="7">
        <v>50500</v>
      </c>
      <c r="K505" s="7">
        <v>0</v>
      </c>
      <c r="L505" s="7">
        <v>290268.90999999997</v>
      </c>
      <c r="M505" s="7">
        <v>2147500</v>
      </c>
      <c r="N505" s="7">
        <v>159000</v>
      </c>
      <c r="O505" s="7">
        <v>1647731.09</v>
      </c>
      <c r="P505" s="7">
        <v>508152</v>
      </c>
      <c r="Q505" s="7">
        <v>1139579.0900000001</v>
      </c>
      <c r="R505" s="7">
        <v>0</v>
      </c>
      <c r="S505" s="7">
        <v>32</v>
      </c>
      <c r="T505" s="7">
        <v>0</v>
      </c>
      <c r="U505" s="7">
        <v>0</v>
      </c>
      <c r="V505" s="9">
        <v>46189.853409826392</v>
      </c>
    </row>
    <row r="506" spans="1:22" x14ac:dyDescent="0.2">
      <c r="A506" s="8">
        <v>45948</v>
      </c>
      <c r="B506" s="7">
        <v>25</v>
      </c>
      <c r="C506" s="7">
        <v>2.6</v>
      </c>
      <c r="D506" s="7">
        <v>153676.639</v>
      </c>
      <c r="E506" s="7">
        <v>0</v>
      </c>
      <c r="F506" s="7">
        <v>3946958</v>
      </c>
      <c r="G506" s="7">
        <v>0</v>
      </c>
      <c r="H506" s="7">
        <v>0</v>
      </c>
      <c r="I506" s="7">
        <v>3946958</v>
      </c>
      <c r="J506" s="7">
        <v>14500</v>
      </c>
      <c r="K506" s="7">
        <v>0</v>
      </c>
      <c r="L506" s="7">
        <v>654542</v>
      </c>
      <c r="M506" s="7">
        <v>4616000</v>
      </c>
      <c r="N506" s="7">
        <v>232033.61</v>
      </c>
      <c r="O506" s="7">
        <v>3714924.39</v>
      </c>
      <c r="P506" s="7">
        <v>1164103</v>
      </c>
      <c r="Q506" s="7">
        <v>2550821.39</v>
      </c>
      <c r="R506" s="7">
        <v>0</v>
      </c>
      <c r="S506" s="7">
        <v>68</v>
      </c>
      <c r="T506" s="7">
        <v>0</v>
      </c>
      <c r="U506" s="7">
        <v>0</v>
      </c>
      <c r="V506" s="9">
        <v>46189.853409826392</v>
      </c>
    </row>
    <row r="507" spans="1:22" x14ac:dyDescent="0.2">
      <c r="A507" s="8">
        <v>45949</v>
      </c>
      <c r="B507" s="7">
        <v>13</v>
      </c>
      <c r="C507" s="7">
        <v>2</v>
      </c>
      <c r="D507" s="7">
        <v>114137.04</v>
      </c>
      <c r="E507" s="7">
        <v>0</v>
      </c>
      <c r="F507" s="7">
        <v>1489663.88</v>
      </c>
      <c r="G507" s="7">
        <v>-5882.35</v>
      </c>
      <c r="H507" s="7">
        <v>0</v>
      </c>
      <c r="I507" s="7">
        <v>1483781.53</v>
      </c>
      <c r="J507" s="7">
        <v>27000</v>
      </c>
      <c r="K507" s="7">
        <v>0</v>
      </c>
      <c r="L507" s="7">
        <v>276218.46999999997</v>
      </c>
      <c r="M507" s="7">
        <v>1787000</v>
      </c>
      <c r="N507" s="7">
        <v>0</v>
      </c>
      <c r="O507" s="7">
        <v>1483781.53</v>
      </c>
      <c r="P507" s="7">
        <v>533526</v>
      </c>
      <c r="Q507" s="7">
        <v>950255.53</v>
      </c>
      <c r="R507" s="7">
        <v>0</v>
      </c>
      <c r="S507" s="7">
        <v>26</v>
      </c>
      <c r="T507" s="7">
        <v>0</v>
      </c>
      <c r="U507" s="7">
        <v>0</v>
      </c>
      <c r="V507" s="9">
        <v>46189.853409826392</v>
      </c>
    </row>
    <row r="508" spans="1:22" x14ac:dyDescent="0.2">
      <c r="A508" s="8">
        <v>45950</v>
      </c>
      <c r="B508" s="7">
        <v>17</v>
      </c>
      <c r="C508" s="7">
        <v>2.4</v>
      </c>
      <c r="D508" s="7">
        <v>162234.30499999999</v>
      </c>
      <c r="E508" s="7">
        <v>-4</v>
      </c>
      <c r="F508" s="7">
        <v>2802941.17</v>
      </c>
      <c r="G508" s="7">
        <v>-44957.98</v>
      </c>
      <c r="H508" s="7">
        <v>-365546.22</v>
      </c>
      <c r="I508" s="7">
        <v>2392436.9700000002</v>
      </c>
      <c r="J508" s="7">
        <v>50500</v>
      </c>
      <c r="K508" s="7">
        <v>0</v>
      </c>
      <c r="L508" s="7">
        <v>454563.03</v>
      </c>
      <c r="M508" s="7">
        <v>2897500</v>
      </c>
      <c r="N508" s="7">
        <v>0</v>
      </c>
      <c r="O508" s="7">
        <v>2392436.9700000002</v>
      </c>
      <c r="P508" s="7">
        <v>772247</v>
      </c>
      <c r="Q508" s="7">
        <v>1620189.97</v>
      </c>
      <c r="R508" s="7">
        <v>0</v>
      </c>
      <c r="S508" s="7">
        <v>37</v>
      </c>
      <c r="T508" s="7">
        <v>0</v>
      </c>
      <c r="U508" s="7">
        <v>0</v>
      </c>
      <c r="V508" s="9">
        <v>46189.853409826392</v>
      </c>
    </row>
    <row r="509" spans="1:22" x14ac:dyDescent="0.2">
      <c r="A509" s="8">
        <v>45951</v>
      </c>
      <c r="B509" s="7">
        <v>24</v>
      </c>
      <c r="C509" s="7">
        <v>10</v>
      </c>
      <c r="D509" s="7">
        <v>984026.61</v>
      </c>
      <c r="E509" s="7">
        <v>-2</v>
      </c>
      <c r="F509" s="7">
        <v>28674621.859999999</v>
      </c>
      <c r="G509" s="7">
        <v>-5012605.04</v>
      </c>
      <c r="H509" s="7">
        <v>-45378.15</v>
      </c>
      <c r="I509" s="7">
        <v>23616638.670000002</v>
      </c>
      <c r="J509" s="7">
        <v>88500</v>
      </c>
      <c r="K509" s="7">
        <v>0</v>
      </c>
      <c r="L509" s="7">
        <v>4487161.33</v>
      </c>
      <c r="M509" s="7">
        <v>28192300</v>
      </c>
      <c r="N509" s="7">
        <v>45378.16</v>
      </c>
      <c r="O509" s="7">
        <v>23571260.510000002</v>
      </c>
      <c r="P509" s="7">
        <v>7654561</v>
      </c>
      <c r="Q509" s="7">
        <v>15916699.51</v>
      </c>
      <c r="R509" s="7">
        <v>0</v>
      </c>
      <c r="S509" s="7">
        <v>239</v>
      </c>
      <c r="T509" s="7">
        <v>0</v>
      </c>
      <c r="U509" s="7">
        <v>0</v>
      </c>
      <c r="V509" s="9">
        <v>46189.853409826392</v>
      </c>
    </row>
    <row r="510" spans="1:22" x14ac:dyDescent="0.2">
      <c r="A510" s="8">
        <v>45952</v>
      </c>
      <c r="B510" s="7">
        <v>13</v>
      </c>
      <c r="C510" s="7">
        <v>3.5</v>
      </c>
      <c r="D510" s="7">
        <v>219457.014</v>
      </c>
      <c r="E510" s="7">
        <v>0</v>
      </c>
      <c r="F510" s="7">
        <v>2991596.65</v>
      </c>
      <c r="G510" s="7">
        <v>-138655.46</v>
      </c>
      <c r="H510" s="7">
        <v>0</v>
      </c>
      <c r="I510" s="7">
        <v>2852941.19</v>
      </c>
      <c r="J510" s="7">
        <v>65000</v>
      </c>
      <c r="K510" s="7">
        <v>0</v>
      </c>
      <c r="L510" s="7">
        <v>542058.81000000006</v>
      </c>
      <c r="M510" s="7">
        <v>3460000</v>
      </c>
      <c r="N510" s="7">
        <v>29411.759999999998</v>
      </c>
      <c r="O510" s="7">
        <v>2823529.43</v>
      </c>
      <c r="P510" s="7">
        <v>816675</v>
      </c>
      <c r="Q510" s="7">
        <v>2006854.43</v>
      </c>
      <c r="R510" s="7">
        <v>0</v>
      </c>
      <c r="S510" s="7">
        <v>45</v>
      </c>
      <c r="T510" s="7">
        <v>0</v>
      </c>
      <c r="U510" s="7">
        <v>0</v>
      </c>
      <c r="V510" s="9">
        <v>46189.853409826392</v>
      </c>
    </row>
    <row r="511" spans="1:22" x14ac:dyDescent="0.2">
      <c r="A511" s="8">
        <v>45953</v>
      </c>
      <c r="B511" s="7">
        <v>14</v>
      </c>
      <c r="C511" s="7">
        <v>2</v>
      </c>
      <c r="D511" s="7">
        <v>93277.312000000005</v>
      </c>
      <c r="E511" s="7">
        <v>0</v>
      </c>
      <c r="F511" s="7">
        <v>1366386.55</v>
      </c>
      <c r="G511" s="7">
        <v>-60504.18</v>
      </c>
      <c r="H511" s="7">
        <v>0</v>
      </c>
      <c r="I511" s="7">
        <v>1305882.3700000001</v>
      </c>
      <c r="J511" s="7">
        <v>32500</v>
      </c>
      <c r="K511" s="7">
        <v>0</v>
      </c>
      <c r="L511" s="7">
        <v>248117.63</v>
      </c>
      <c r="M511" s="7">
        <v>1586500</v>
      </c>
      <c r="N511" s="7">
        <v>22689.08</v>
      </c>
      <c r="O511" s="7">
        <v>1283193.29</v>
      </c>
      <c r="P511" s="7">
        <v>272951</v>
      </c>
      <c r="Q511" s="7">
        <v>1010242.29</v>
      </c>
      <c r="R511" s="7">
        <v>0</v>
      </c>
      <c r="S511" s="7">
        <v>28</v>
      </c>
      <c r="T511" s="7">
        <v>0</v>
      </c>
      <c r="U511" s="7">
        <v>0</v>
      </c>
      <c r="V511" s="9">
        <v>46189.853409826392</v>
      </c>
    </row>
    <row r="512" spans="1:22" x14ac:dyDescent="0.2">
      <c r="A512" s="8">
        <v>45954</v>
      </c>
      <c r="B512" s="7">
        <v>21</v>
      </c>
      <c r="C512" s="7">
        <v>1.8</v>
      </c>
      <c r="D512" s="7">
        <v>97352.941999999995</v>
      </c>
      <c r="E512" s="7">
        <v>0</v>
      </c>
      <c r="F512" s="7">
        <v>2044411.79</v>
      </c>
      <c r="G512" s="7">
        <v>0</v>
      </c>
      <c r="H512" s="7">
        <v>0</v>
      </c>
      <c r="I512" s="7">
        <v>2044411.79</v>
      </c>
      <c r="J512" s="7">
        <v>48000</v>
      </c>
      <c r="K512" s="7">
        <v>0</v>
      </c>
      <c r="L512" s="7">
        <v>366588.21</v>
      </c>
      <c r="M512" s="7">
        <v>2459000</v>
      </c>
      <c r="N512" s="7">
        <v>77689.08</v>
      </c>
      <c r="O512" s="7">
        <v>1966722.71</v>
      </c>
      <c r="P512" s="7">
        <v>588605</v>
      </c>
      <c r="Q512" s="7">
        <v>1378117.71</v>
      </c>
      <c r="R512" s="7">
        <v>0</v>
      </c>
      <c r="S512" s="7">
        <v>37</v>
      </c>
      <c r="T512" s="7">
        <v>0</v>
      </c>
      <c r="U512" s="7">
        <v>0</v>
      </c>
      <c r="V512" s="9">
        <v>46189.853409826392</v>
      </c>
    </row>
    <row r="513" spans="1:22" x14ac:dyDescent="0.2">
      <c r="A513" s="8">
        <v>45955</v>
      </c>
      <c r="B513" s="7">
        <v>23</v>
      </c>
      <c r="C513" s="7">
        <v>11.2</v>
      </c>
      <c r="D513" s="7">
        <v>133503.837</v>
      </c>
      <c r="E513" s="7">
        <v>0</v>
      </c>
      <c r="F513" s="7">
        <v>3831092.45</v>
      </c>
      <c r="G513" s="7">
        <v>-760504.19</v>
      </c>
      <c r="H513" s="7">
        <v>0</v>
      </c>
      <c r="I513" s="7">
        <v>3070588.26</v>
      </c>
      <c r="J513" s="7">
        <v>61500</v>
      </c>
      <c r="K513" s="7">
        <v>0</v>
      </c>
      <c r="L513" s="7">
        <v>583411.74</v>
      </c>
      <c r="M513" s="7">
        <v>3715500</v>
      </c>
      <c r="N513" s="7">
        <v>81512.61</v>
      </c>
      <c r="O513" s="7">
        <v>2989075.65</v>
      </c>
      <c r="P513" s="7">
        <v>1088155</v>
      </c>
      <c r="Q513" s="7">
        <v>1900920.65</v>
      </c>
      <c r="R513" s="7">
        <v>0</v>
      </c>
      <c r="S513" s="7">
        <v>258</v>
      </c>
      <c r="T513" s="7">
        <v>0</v>
      </c>
      <c r="U513" s="7">
        <v>0</v>
      </c>
      <c r="V513" s="9">
        <v>46189.853409826392</v>
      </c>
    </row>
    <row r="514" spans="1:22" x14ac:dyDescent="0.2">
      <c r="A514" s="8">
        <v>45956</v>
      </c>
      <c r="B514" s="7">
        <v>13</v>
      </c>
      <c r="C514" s="7">
        <v>2.1</v>
      </c>
      <c r="D514" s="7">
        <v>144209.43700000001</v>
      </c>
      <c r="E514" s="7">
        <v>-2</v>
      </c>
      <c r="F514" s="7">
        <v>1975563.03</v>
      </c>
      <c r="G514" s="7">
        <v>0</v>
      </c>
      <c r="H514" s="7">
        <v>-100840.34</v>
      </c>
      <c r="I514" s="7">
        <v>1874722.69</v>
      </c>
      <c r="J514" s="7">
        <v>41500</v>
      </c>
      <c r="K514" s="7">
        <v>0</v>
      </c>
      <c r="L514" s="7">
        <v>314777.31</v>
      </c>
      <c r="M514" s="7">
        <v>2231000</v>
      </c>
      <c r="N514" s="7">
        <v>22689.08</v>
      </c>
      <c r="O514" s="7">
        <v>1852033.61</v>
      </c>
      <c r="P514" s="7">
        <v>722460</v>
      </c>
      <c r="Q514" s="7">
        <v>1129573.6100000001</v>
      </c>
      <c r="R514" s="7">
        <v>0</v>
      </c>
      <c r="S514" s="7">
        <v>27</v>
      </c>
      <c r="T514" s="7">
        <v>0</v>
      </c>
      <c r="U514" s="7">
        <v>0</v>
      </c>
      <c r="V514" s="9">
        <v>46189.853409826392</v>
      </c>
    </row>
    <row r="515" spans="1:22" x14ac:dyDescent="0.2">
      <c r="A515" s="8">
        <v>45957</v>
      </c>
      <c r="B515" s="7">
        <v>17</v>
      </c>
      <c r="C515" s="7">
        <v>1.9</v>
      </c>
      <c r="D515" s="7">
        <v>130708.848</v>
      </c>
      <c r="E515" s="7">
        <v>-2</v>
      </c>
      <c r="F515" s="7">
        <v>2314873.9500000002</v>
      </c>
      <c r="G515" s="7">
        <v>-34000</v>
      </c>
      <c r="H515" s="7">
        <v>-66386.559999999998</v>
      </c>
      <c r="I515" s="7">
        <v>2214487.39</v>
      </c>
      <c r="J515" s="7">
        <v>245500</v>
      </c>
      <c r="K515" s="7">
        <v>0</v>
      </c>
      <c r="L515" s="7">
        <v>345512.61</v>
      </c>
      <c r="M515" s="7">
        <v>2805500</v>
      </c>
      <c r="N515" s="7">
        <v>22689.08</v>
      </c>
      <c r="O515" s="7">
        <v>2191798.31</v>
      </c>
      <c r="P515" s="7">
        <v>652067</v>
      </c>
      <c r="Q515" s="7">
        <v>1539731.31</v>
      </c>
      <c r="R515" s="7">
        <v>0</v>
      </c>
      <c r="S515" s="7">
        <v>32</v>
      </c>
      <c r="T515" s="7">
        <v>0</v>
      </c>
      <c r="U515" s="7">
        <v>0</v>
      </c>
      <c r="V515" s="9">
        <v>46189.853409826392</v>
      </c>
    </row>
    <row r="516" spans="1:22" x14ac:dyDescent="0.2">
      <c r="A516" s="8">
        <v>45958</v>
      </c>
      <c r="B516" s="7">
        <v>17</v>
      </c>
      <c r="C516" s="7">
        <v>4.4000000000000004</v>
      </c>
      <c r="D516" s="7">
        <v>219523.481</v>
      </c>
      <c r="E516" s="7">
        <v>0</v>
      </c>
      <c r="F516" s="7">
        <v>3897697.45</v>
      </c>
      <c r="G516" s="7">
        <v>-165798.26999999999</v>
      </c>
      <c r="H516" s="7">
        <v>0</v>
      </c>
      <c r="I516" s="7">
        <v>3731899.18</v>
      </c>
      <c r="J516" s="7">
        <v>68500</v>
      </c>
      <c r="K516" s="7">
        <v>0</v>
      </c>
      <c r="L516" s="7">
        <v>670300.81999999995</v>
      </c>
      <c r="M516" s="7">
        <v>4470700</v>
      </c>
      <c r="N516" s="7">
        <v>436106.37</v>
      </c>
      <c r="O516" s="7">
        <v>3295792.81</v>
      </c>
      <c r="P516" s="7">
        <v>1007602</v>
      </c>
      <c r="Q516" s="7">
        <v>2288190.81</v>
      </c>
      <c r="R516" s="7">
        <v>0</v>
      </c>
      <c r="S516" s="7">
        <v>74</v>
      </c>
      <c r="T516" s="7">
        <v>0</v>
      </c>
      <c r="U516" s="7">
        <v>0</v>
      </c>
      <c r="V516" s="9">
        <v>46189.853409826392</v>
      </c>
    </row>
    <row r="517" spans="1:22" x14ac:dyDescent="0.2">
      <c r="A517" s="8">
        <v>45959</v>
      </c>
      <c r="B517" s="7">
        <v>21</v>
      </c>
      <c r="C517" s="7">
        <v>13.1</v>
      </c>
      <c r="D517" s="7">
        <v>308849.94</v>
      </c>
      <c r="E517" s="7">
        <v>-10</v>
      </c>
      <c r="F517" s="7">
        <v>6508327.7199999997</v>
      </c>
      <c r="G517" s="7">
        <v>-22478.98</v>
      </c>
      <c r="H517" s="7">
        <v>-483193.28</v>
      </c>
      <c r="I517" s="7">
        <v>6002655.46</v>
      </c>
      <c r="J517" s="7">
        <v>88500</v>
      </c>
      <c r="K517" s="7">
        <v>0</v>
      </c>
      <c r="L517" s="7">
        <v>1104594.54</v>
      </c>
      <c r="M517" s="7">
        <v>7195750</v>
      </c>
      <c r="N517" s="7">
        <v>181689.08</v>
      </c>
      <c r="O517" s="7">
        <v>5820966.3799999999</v>
      </c>
      <c r="P517" s="7">
        <v>1673369</v>
      </c>
      <c r="Q517" s="7">
        <v>4147597.38</v>
      </c>
      <c r="R517" s="7">
        <v>100000</v>
      </c>
      <c r="S517" s="7">
        <v>265</v>
      </c>
      <c r="T517" s="7">
        <v>0</v>
      </c>
      <c r="U517" s="7">
        <v>100000</v>
      </c>
      <c r="V517" s="9">
        <v>46189.853409826392</v>
      </c>
    </row>
    <row r="518" spans="1:22" x14ac:dyDescent="0.2">
      <c r="A518" s="8">
        <v>45960</v>
      </c>
      <c r="B518" s="7">
        <v>15</v>
      </c>
      <c r="C518" s="7">
        <v>1.9</v>
      </c>
      <c r="D518" s="7">
        <v>120992.156</v>
      </c>
      <c r="E518" s="7">
        <v>0</v>
      </c>
      <c r="F518" s="7">
        <v>1853957.96</v>
      </c>
      <c r="G518" s="7">
        <v>-39075.620000000003</v>
      </c>
      <c r="H518" s="7">
        <v>0</v>
      </c>
      <c r="I518" s="7">
        <v>1814882.34</v>
      </c>
      <c r="J518" s="7">
        <v>41500</v>
      </c>
      <c r="K518" s="7">
        <v>0</v>
      </c>
      <c r="L518" s="7">
        <v>314617.65999999997</v>
      </c>
      <c r="M518" s="7">
        <v>2171000</v>
      </c>
      <c r="N518" s="7">
        <v>22689.08</v>
      </c>
      <c r="O518" s="7">
        <v>1792193.26</v>
      </c>
      <c r="P518" s="7">
        <v>608892</v>
      </c>
      <c r="Q518" s="7">
        <v>1183301.26</v>
      </c>
      <c r="R518" s="7">
        <v>0</v>
      </c>
      <c r="S518" s="7">
        <v>28</v>
      </c>
      <c r="T518" s="7">
        <v>0</v>
      </c>
      <c r="U518" s="7">
        <v>0</v>
      </c>
      <c r="V518" s="9">
        <v>46189.853409826392</v>
      </c>
    </row>
    <row r="519" spans="1:22" x14ac:dyDescent="0.2">
      <c r="A519" s="8">
        <v>45961</v>
      </c>
      <c r="B519" s="7">
        <v>16</v>
      </c>
      <c r="C519" s="7">
        <v>7.1</v>
      </c>
      <c r="D519" s="7">
        <v>244899.15900000001</v>
      </c>
      <c r="E519" s="7">
        <v>0</v>
      </c>
      <c r="F519" s="7">
        <v>4123008.37</v>
      </c>
      <c r="G519" s="7">
        <v>-162605.01</v>
      </c>
      <c r="H519" s="7">
        <v>0</v>
      </c>
      <c r="I519" s="7">
        <v>3960403.36</v>
      </c>
      <c r="J519" s="7">
        <v>56000</v>
      </c>
      <c r="K519" s="7">
        <v>0</v>
      </c>
      <c r="L519" s="7">
        <v>733096.64</v>
      </c>
      <c r="M519" s="7">
        <v>4749500</v>
      </c>
      <c r="N519" s="7">
        <v>22689.08</v>
      </c>
      <c r="O519" s="7">
        <v>3937714.28</v>
      </c>
      <c r="P519" s="7">
        <v>1210749</v>
      </c>
      <c r="Q519" s="7">
        <v>2726965.28</v>
      </c>
      <c r="R519" s="7">
        <v>0</v>
      </c>
      <c r="S519" s="7">
        <v>115</v>
      </c>
      <c r="T519" s="7">
        <v>0</v>
      </c>
      <c r="U519" s="7">
        <v>0</v>
      </c>
      <c r="V519" s="9">
        <v>46189.853409826392</v>
      </c>
    </row>
    <row r="520" spans="1:22" x14ac:dyDescent="0.2">
      <c r="A520" s="8">
        <v>45962</v>
      </c>
      <c r="B520" s="7">
        <v>22</v>
      </c>
      <c r="C520" s="7">
        <v>2.7</v>
      </c>
      <c r="D520" s="7">
        <v>170187.93</v>
      </c>
      <c r="E520" s="7">
        <v>0</v>
      </c>
      <c r="F520" s="7">
        <v>4115058.83</v>
      </c>
      <c r="G520" s="7">
        <v>0</v>
      </c>
      <c r="H520" s="7">
        <v>0</v>
      </c>
      <c r="I520" s="7">
        <v>4115058.83</v>
      </c>
      <c r="J520" s="7">
        <v>38000</v>
      </c>
      <c r="K520" s="7">
        <v>0</v>
      </c>
      <c r="L520" s="7">
        <v>749941.17</v>
      </c>
      <c r="M520" s="7">
        <v>4903000</v>
      </c>
      <c r="N520" s="7">
        <v>78000</v>
      </c>
      <c r="O520" s="7">
        <v>4037058.83</v>
      </c>
      <c r="P520" s="7">
        <v>1208009</v>
      </c>
      <c r="Q520" s="7">
        <v>2829049.83</v>
      </c>
      <c r="R520" s="7">
        <v>0</v>
      </c>
      <c r="S520" s="7">
        <v>66</v>
      </c>
      <c r="T520" s="7">
        <v>0</v>
      </c>
      <c r="U520" s="7">
        <v>0</v>
      </c>
      <c r="V520" s="9">
        <v>46189.853409826392</v>
      </c>
    </row>
    <row r="521" spans="1:22" x14ac:dyDescent="0.2">
      <c r="A521" s="8">
        <v>45963</v>
      </c>
      <c r="B521" s="7">
        <v>14</v>
      </c>
      <c r="C521" s="7">
        <v>3.7</v>
      </c>
      <c r="D521" s="7">
        <v>164709.484</v>
      </c>
      <c r="E521" s="7">
        <v>0</v>
      </c>
      <c r="F521" s="7">
        <v>2415176.48</v>
      </c>
      <c r="G521" s="7">
        <v>0</v>
      </c>
      <c r="H521" s="7">
        <v>0</v>
      </c>
      <c r="I521" s="7">
        <v>2415176.48</v>
      </c>
      <c r="J521" s="7">
        <v>83000</v>
      </c>
      <c r="K521" s="7">
        <v>0</v>
      </c>
      <c r="L521" s="7">
        <v>416323.52</v>
      </c>
      <c r="M521" s="7">
        <v>2914500</v>
      </c>
      <c r="N521" s="7">
        <v>103621.85</v>
      </c>
      <c r="O521" s="7">
        <v>2311554.63</v>
      </c>
      <c r="P521" s="7">
        <v>723327</v>
      </c>
      <c r="Q521" s="7">
        <v>1588227.63</v>
      </c>
      <c r="R521" s="7">
        <v>0</v>
      </c>
      <c r="S521" s="7">
        <v>54</v>
      </c>
      <c r="T521" s="7">
        <v>0</v>
      </c>
      <c r="U521" s="7">
        <v>0</v>
      </c>
      <c r="V521" s="9">
        <v>46189.853409826392</v>
      </c>
    </row>
    <row r="522" spans="1:22" x14ac:dyDescent="0.2">
      <c r="A522" s="8">
        <v>45964</v>
      </c>
      <c r="B522" s="7">
        <v>9</v>
      </c>
      <c r="C522" s="7">
        <v>2.2000000000000002</v>
      </c>
      <c r="D522" s="7">
        <v>187861.905</v>
      </c>
      <c r="E522" s="7">
        <v>-12</v>
      </c>
      <c r="F522" s="7">
        <v>1840337.11</v>
      </c>
      <c r="G522" s="7">
        <v>-128571.56</v>
      </c>
      <c r="H522" s="7">
        <v>0</v>
      </c>
      <c r="I522" s="7">
        <v>1711765.55</v>
      </c>
      <c r="J522" s="7">
        <v>45500</v>
      </c>
      <c r="K522" s="7">
        <v>0</v>
      </c>
      <c r="L522" s="7">
        <v>325235.3</v>
      </c>
      <c r="M522" s="7">
        <v>2082500.85</v>
      </c>
      <c r="N522" s="7">
        <v>0.85</v>
      </c>
      <c r="O522" s="7">
        <v>1711764.7</v>
      </c>
      <c r="P522" s="7">
        <v>444397</v>
      </c>
      <c r="Q522" s="7">
        <v>1267367.7</v>
      </c>
      <c r="R522" s="7">
        <v>0</v>
      </c>
      <c r="S522" s="7">
        <v>9</v>
      </c>
      <c r="T522" s="7">
        <v>0</v>
      </c>
      <c r="U522" s="7">
        <v>0</v>
      </c>
      <c r="V522" s="9">
        <v>46189.853409826392</v>
      </c>
    </row>
    <row r="523" spans="1:22" x14ac:dyDescent="0.2">
      <c r="A523" s="8">
        <v>45965</v>
      </c>
      <c r="B523" s="7">
        <v>15</v>
      </c>
      <c r="C523" s="7">
        <v>2.1</v>
      </c>
      <c r="D523" s="7">
        <v>202314.28599999999</v>
      </c>
      <c r="E523" s="7">
        <v>-2</v>
      </c>
      <c r="F523" s="7">
        <v>3114546.22</v>
      </c>
      <c r="G523" s="7">
        <v>0</v>
      </c>
      <c r="H523" s="7">
        <v>-15126.06</v>
      </c>
      <c r="I523" s="7">
        <v>3099420.16</v>
      </c>
      <c r="J523" s="7">
        <v>72000</v>
      </c>
      <c r="K523" s="7">
        <v>0</v>
      </c>
      <c r="L523" s="7">
        <v>579579.84</v>
      </c>
      <c r="M523" s="7">
        <v>3751000</v>
      </c>
      <c r="N523" s="7">
        <v>50420.160000000003</v>
      </c>
      <c r="O523" s="7">
        <v>3049000</v>
      </c>
      <c r="P523" s="7">
        <v>1128413</v>
      </c>
      <c r="Q523" s="7">
        <v>1920587</v>
      </c>
      <c r="R523" s="7">
        <v>0</v>
      </c>
      <c r="S523" s="7">
        <v>31</v>
      </c>
      <c r="T523" s="7">
        <v>0</v>
      </c>
      <c r="U523" s="7">
        <v>0</v>
      </c>
      <c r="V523" s="9">
        <v>46189.853409826392</v>
      </c>
    </row>
    <row r="524" spans="1:22" x14ac:dyDescent="0.2">
      <c r="A524" s="8">
        <v>45966</v>
      </c>
      <c r="B524" s="7">
        <v>19</v>
      </c>
      <c r="C524" s="7">
        <v>3.6</v>
      </c>
      <c r="D524" s="7">
        <v>237167.182</v>
      </c>
      <c r="E524" s="7">
        <v>0</v>
      </c>
      <c r="F524" s="7">
        <v>5065000</v>
      </c>
      <c r="G524" s="7">
        <v>-264705.88</v>
      </c>
      <c r="H524" s="7">
        <v>0</v>
      </c>
      <c r="I524" s="7">
        <v>4800294.12</v>
      </c>
      <c r="J524" s="7">
        <v>101500</v>
      </c>
      <c r="K524" s="7">
        <v>0</v>
      </c>
      <c r="L524" s="7">
        <v>899705.88</v>
      </c>
      <c r="M524" s="7">
        <v>5801500</v>
      </c>
      <c r="N524" s="7">
        <v>0</v>
      </c>
      <c r="O524" s="7">
        <v>4800294.12</v>
      </c>
      <c r="P524" s="7">
        <v>1557637</v>
      </c>
      <c r="Q524" s="7">
        <v>3242657.12</v>
      </c>
      <c r="R524" s="7">
        <v>0</v>
      </c>
      <c r="S524" s="7">
        <v>75</v>
      </c>
      <c r="T524" s="7">
        <v>0</v>
      </c>
      <c r="U524" s="7">
        <v>0</v>
      </c>
      <c r="V524" s="9">
        <v>46189.853409826392</v>
      </c>
    </row>
    <row r="525" spans="1:22" x14ac:dyDescent="0.2">
      <c r="A525" s="8">
        <v>45967</v>
      </c>
      <c r="B525" s="7">
        <v>17</v>
      </c>
      <c r="C525" s="7">
        <v>2.6</v>
      </c>
      <c r="D525" s="7">
        <v>122355.413</v>
      </c>
      <c r="E525" s="7">
        <v>0</v>
      </c>
      <c r="F525" s="7">
        <v>2190966.4</v>
      </c>
      <c r="G525" s="7">
        <v>0</v>
      </c>
      <c r="H525" s="7">
        <v>0</v>
      </c>
      <c r="I525" s="7">
        <v>2190966.4</v>
      </c>
      <c r="J525" s="7">
        <v>56000</v>
      </c>
      <c r="K525" s="7">
        <v>0</v>
      </c>
      <c r="L525" s="7">
        <v>402033.6</v>
      </c>
      <c r="M525" s="7">
        <v>2649000</v>
      </c>
      <c r="N525" s="7">
        <v>75000</v>
      </c>
      <c r="O525" s="7">
        <v>2115966.4</v>
      </c>
      <c r="P525" s="7">
        <v>634026</v>
      </c>
      <c r="Q525" s="7">
        <v>1481940.4</v>
      </c>
      <c r="R525" s="7">
        <v>0</v>
      </c>
      <c r="S525" s="7">
        <v>47</v>
      </c>
      <c r="T525" s="7">
        <v>0</v>
      </c>
      <c r="U525" s="7">
        <v>0</v>
      </c>
      <c r="V525" s="9">
        <v>46189.853409826392</v>
      </c>
    </row>
    <row r="526" spans="1:22" x14ac:dyDescent="0.2">
      <c r="A526" s="8">
        <v>45968</v>
      </c>
      <c r="B526" s="7">
        <v>23</v>
      </c>
      <c r="C526" s="7">
        <v>2.7</v>
      </c>
      <c r="D526" s="7">
        <v>167793.204</v>
      </c>
      <c r="E526" s="7">
        <v>0</v>
      </c>
      <c r="F526" s="7">
        <v>3946638.66</v>
      </c>
      <c r="G526" s="7">
        <v>0</v>
      </c>
      <c r="H526" s="7">
        <v>0</v>
      </c>
      <c r="I526" s="7">
        <v>3946638.66</v>
      </c>
      <c r="J526" s="7">
        <v>105000</v>
      </c>
      <c r="K526" s="7">
        <v>0</v>
      </c>
      <c r="L526" s="7">
        <v>749861.34</v>
      </c>
      <c r="M526" s="7">
        <v>4801500</v>
      </c>
      <c r="N526" s="7">
        <v>435294.11</v>
      </c>
      <c r="O526" s="7">
        <v>3511344.55</v>
      </c>
      <c r="P526" s="7">
        <v>1081736</v>
      </c>
      <c r="Q526" s="7">
        <v>2429608.5499999998</v>
      </c>
      <c r="R526" s="7">
        <v>0</v>
      </c>
      <c r="S526" s="7">
        <v>65</v>
      </c>
      <c r="T526" s="7">
        <v>0</v>
      </c>
      <c r="U526" s="7">
        <v>0</v>
      </c>
      <c r="V526" s="9">
        <v>46189.853409826392</v>
      </c>
    </row>
    <row r="527" spans="1:22" x14ac:dyDescent="0.2">
      <c r="A527" s="8">
        <v>45969</v>
      </c>
      <c r="B527" s="7">
        <v>19</v>
      </c>
      <c r="C527" s="7">
        <v>4.4000000000000004</v>
      </c>
      <c r="D527" s="7">
        <v>353040.69</v>
      </c>
      <c r="E527" s="7">
        <v>0</v>
      </c>
      <c r="F527" s="7">
        <v>8040924.3600000003</v>
      </c>
      <c r="G527" s="7">
        <v>-744327.71</v>
      </c>
      <c r="H527" s="7">
        <v>0</v>
      </c>
      <c r="I527" s="7">
        <v>7296596.6500000004</v>
      </c>
      <c r="J527" s="7">
        <v>18000</v>
      </c>
      <c r="K527" s="7">
        <v>0</v>
      </c>
      <c r="L527" s="7">
        <v>1380653.35</v>
      </c>
      <c r="M527" s="7">
        <v>8695250</v>
      </c>
      <c r="N527" s="7">
        <v>50420.17</v>
      </c>
      <c r="O527" s="7">
        <v>7246176.4800000004</v>
      </c>
      <c r="P527" s="7">
        <v>2300259</v>
      </c>
      <c r="Q527" s="7">
        <v>4945917.4800000004</v>
      </c>
      <c r="R527" s="7">
        <v>1400000</v>
      </c>
      <c r="S527" s="7">
        <v>91</v>
      </c>
      <c r="T527" s="7">
        <v>0</v>
      </c>
      <c r="U527" s="7">
        <v>1400000</v>
      </c>
      <c r="V527" s="9">
        <v>46189.853409826392</v>
      </c>
    </row>
    <row r="528" spans="1:22" x14ac:dyDescent="0.2">
      <c r="A528" s="8">
        <v>45970</v>
      </c>
      <c r="B528" s="7">
        <v>11</v>
      </c>
      <c r="C528" s="7">
        <v>4.3</v>
      </c>
      <c r="D528" s="7">
        <v>327453.78100000002</v>
      </c>
      <c r="E528" s="7">
        <v>-10</v>
      </c>
      <c r="F528" s="7">
        <v>3829512.58</v>
      </c>
      <c r="G528" s="7">
        <v>-257773.08</v>
      </c>
      <c r="H528" s="7">
        <v>-1047109.24</v>
      </c>
      <c r="I528" s="7">
        <v>2524630.2599999998</v>
      </c>
      <c r="J528" s="7">
        <v>18000</v>
      </c>
      <c r="K528" s="7">
        <v>0</v>
      </c>
      <c r="L528" s="7">
        <v>460869.74</v>
      </c>
      <c r="M528" s="7">
        <v>3003500</v>
      </c>
      <c r="N528" s="7">
        <v>121689.08</v>
      </c>
      <c r="O528" s="7">
        <v>2402941.1800000002</v>
      </c>
      <c r="P528" s="7">
        <v>870633</v>
      </c>
      <c r="Q528" s="7">
        <v>1532308.18</v>
      </c>
      <c r="R528" s="7">
        <v>0</v>
      </c>
      <c r="S528" s="7">
        <v>37</v>
      </c>
      <c r="T528" s="7">
        <v>0</v>
      </c>
      <c r="U528" s="7">
        <v>0</v>
      </c>
      <c r="V528" s="9">
        <v>46189.853409826392</v>
      </c>
    </row>
    <row r="529" spans="1:22" x14ac:dyDescent="0.2">
      <c r="A529" s="8">
        <v>45971</v>
      </c>
      <c r="B529" s="7">
        <v>26</v>
      </c>
      <c r="C529" s="7">
        <v>2.9</v>
      </c>
      <c r="D529" s="7">
        <v>235447.64</v>
      </c>
      <c r="E529" s="7">
        <v>-1</v>
      </c>
      <c r="F529" s="7">
        <v>6245378.0899999999</v>
      </c>
      <c r="G529" s="7">
        <v>-123739.45</v>
      </c>
      <c r="H529" s="7">
        <v>-142857.14000000001</v>
      </c>
      <c r="I529" s="7">
        <v>5978781.5</v>
      </c>
      <c r="J529" s="7">
        <v>93500</v>
      </c>
      <c r="K529" s="7">
        <v>0</v>
      </c>
      <c r="L529" s="7">
        <v>1135968.5</v>
      </c>
      <c r="M529" s="7">
        <v>7208250</v>
      </c>
      <c r="N529" s="7">
        <v>83193.3</v>
      </c>
      <c r="O529" s="7">
        <v>5895588.2000000002</v>
      </c>
      <c r="P529" s="7">
        <v>1622944</v>
      </c>
      <c r="Q529" s="7">
        <v>4272644.2</v>
      </c>
      <c r="R529" s="7">
        <v>0</v>
      </c>
      <c r="S529" s="7">
        <v>74</v>
      </c>
      <c r="T529" s="7">
        <v>0</v>
      </c>
      <c r="U529" s="7">
        <v>0</v>
      </c>
      <c r="V529" s="9">
        <v>46189.853409826392</v>
      </c>
    </row>
    <row r="530" spans="1:22" x14ac:dyDescent="0.2">
      <c r="A530" s="8">
        <v>45972</v>
      </c>
      <c r="B530" s="7">
        <v>38</v>
      </c>
      <c r="C530" s="7">
        <v>3.2</v>
      </c>
      <c r="D530" s="7">
        <v>180093.54199999999</v>
      </c>
      <c r="E530" s="7">
        <v>-2</v>
      </c>
      <c r="F530" s="7">
        <v>7348806.6799999997</v>
      </c>
      <c r="G530" s="7">
        <v>-505252.06</v>
      </c>
      <c r="H530" s="7">
        <v>-15126.06</v>
      </c>
      <c r="I530" s="7">
        <v>6828428.5599999996</v>
      </c>
      <c r="J530" s="7">
        <v>132000</v>
      </c>
      <c r="K530" s="7">
        <v>0</v>
      </c>
      <c r="L530" s="7">
        <v>1272321.44</v>
      </c>
      <c r="M530" s="7">
        <v>8232750</v>
      </c>
      <c r="N530" s="7">
        <v>325277.31</v>
      </c>
      <c r="O530" s="7">
        <v>6503151.25</v>
      </c>
      <c r="P530" s="7">
        <v>1893451</v>
      </c>
      <c r="Q530" s="7">
        <v>4609700.25</v>
      </c>
      <c r="R530" s="7">
        <v>0</v>
      </c>
      <c r="S530" s="7">
        <v>118</v>
      </c>
      <c r="T530" s="7">
        <v>0</v>
      </c>
      <c r="U530" s="7">
        <v>0</v>
      </c>
      <c r="V530" s="9">
        <v>46189.853409826392</v>
      </c>
    </row>
    <row r="531" spans="1:22" x14ac:dyDescent="0.2">
      <c r="A531" s="8">
        <v>45973</v>
      </c>
      <c r="B531" s="7">
        <v>18</v>
      </c>
      <c r="C531" s="7">
        <v>4.0999999999999996</v>
      </c>
      <c r="D531" s="7">
        <v>262605.04100000003</v>
      </c>
      <c r="E531" s="7">
        <v>0</v>
      </c>
      <c r="F531" s="7">
        <v>5033613.4000000004</v>
      </c>
      <c r="G531" s="7">
        <v>-121848.72</v>
      </c>
      <c r="H531" s="7">
        <v>0</v>
      </c>
      <c r="I531" s="7">
        <v>4911764.68</v>
      </c>
      <c r="J531" s="7">
        <v>52500</v>
      </c>
      <c r="K531" s="7">
        <v>0</v>
      </c>
      <c r="L531" s="7">
        <v>933235.32</v>
      </c>
      <c r="M531" s="7">
        <v>5897500</v>
      </c>
      <c r="N531" s="7">
        <v>113445.38</v>
      </c>
      <c r="O531" s="7">
        <v>4798319.3</v>
      </c>
      <c r="P531" s="7">
        <v>1473056</v>
      </c>
      <c r="Q531" s="7">
        <v>3325263.3</v>
      </c>
      <c r="R531" s="7">
        <v>0</v>
      </c>
      <c r="S531" s="7">
        <v>79</v>
      </c>
      <c r="T531" s="7">
        <v>0</v>
      </c>
      <c r="U531" s="7">
        <v>0</v>
      </c>
      <c r="V531" s="9">
        <v>46189.853409826392</v>
      </c>
    </row>
    <row r="532" spans="1:22" x14ac:dyDescent="0.2">
      <c r="A532" s="8">
        <v>45974</v>
      </c>
      <c r="B532" s="7">
        <v>19</v>
      </c>
      <c r="C532" s="7">
        <v>3.8</v>
      </c>
      <c r="D532" s="7">
        <v>223675.36499999999</v>
      </c>
      <c r="E532" s="7">
        <v>-3</v>
      </c>
      <c r="F532" s="7">
        <v>4471260.5</v>
      </c>
      <c r="G532" s="7">
        <v>-32352.92</v>
      </c>
      <c r="H532" s="7">
        <v>-126050.43</v>
      </c>
      <c r="I532" s="7">
        <v>4312857.1500000004</v>
      </c>
      <c r="J532" s="7">
        <v>50500</v>
      </c>
      <c r="K532" s="7">
        <v>0</v>
      </c>
      <c r="L532" s="7">
        <v>796642.85</v>
      </c>
      <c r="M532" s="7">
        <v>5160000</v>
      </c>
      <c r="N532" s="7">
        <v>21008.400000000001</v>
      </c>
      <c r="O532" s="7">
        <v>4291848.75</v>
      </c>
      <c r="P532" s="7">
        <v>1264911</v>
      </c>
      <c r="Q532" s="7">
        <v>3026937.75</v>
      </c>
      <c r="R532" s="7">
        <v>0</v>
      </c>
      <c r="S532" s="7">
        <v>73</v>
      </c>
      <c r="T532" s="7">
        <v>0</v>
      </c>
      <c r="U532" s="7">
        <v>0</v>
      </c>
      <c r="V532" s="9">
        <v>46189.853409826392</v>
      </c>
    </row>
    <row r="533" spans="1:22" x14ac:dyDescent="0.2">
      <c r="A533" s="8">
        <v>45975</v>
      </c>
      <c r="B533" s="7">
        <v>29</v>
      </c>
      <c r="C533" s="7">
        <v>2</v>
      </c>
      <c r="D533" s="7">
        <v>124169.515</v>
      </c>
      <c r="E533" s="7">
        <v>0</v>
      </c>
      <c r="F533" s="7">
        <v>3761840.23</v>
      </c>
      <c r="G533" s="7">
        <v>-160924.28</v>
      </c>
      <c r="H533" s="7">
        <v>0</v>
      </c>
      <c r="I533" s="7">
        <v>3600915.95</v>
      </c>
      <c r="J533" s="7">
        <v>45000</v>
      </c>
      <c r="K533" s="7">
        <v>0</v>
      </c>
      <c r="L533" s="7">
        <v>653584.05000000005</v>
      </c>
      <c r="M533" s="7">
        <v>4299500</v>
      </c>
      <c r="N533" s="7">
        <v>194117.64</v>
      </c>
      <c r="O533" s="7">
        <v>3406798.31</v>
      </c>
      <c r="P533" s="7">
        <v>1079905</v>
      </c>
      <c r="Q533" s="7">
        <v>2326893.31</v>
      </c>
      <c r="R533" s="7">
        <v>0</v>
      </c>
      <c r="S533" s="7">
        <v>58</v>
      </c>
      <c r="T533" s="7">
        <v>0</v>
      </c>
      <c r="U533" s="7">
        <v>0</v>
      </c>
      <c r="V533" s="9">
        <v>46189.853409826392</v>
      </c>
    </row>
    <row r="534" spans="1:22" x14ac:dyDescent="0.2">
      <c r="A534" s="8">
        <v>45976</v>
      </c>
      <c r="B534" s="7">
        <v>26</v>
      </c>
      <c r="C534" s="7">
        <v>4.8</v>
      </c>
      <c r="D534" s="7">
        <v>380184.22700000001</v>
      </c>
      <c r="E534" s="7">
        <v>0</v>
      </c>
      <c r="F534" s="7">
        <v>10883739.369999999</v>
      </c>
      <c r="G534" s="7">
        <v>-971218.36</v>
      </c>
      <c r="H534" s="7">
        <v>0</v>
      </c>
      <c r="I534" s="7">
        <v>9912521.0099999998</v>
      </c>
      <c r="J534" s="7">
        <v>47000</v>
      </c>
      <c r="K534" s="7">
        <v>0</v>
      </c>
      <c r="L534" s="7">
        <v>1876728.99</v>
      </c>
      <c r="M534" s="7">
        <v>11836250</v>
      </c>
      <c r="N534" s="7">
        <v>81512.600000000006</v>
      </c>
      <c r="O534" s="7">
        <v>9831008.4100000001</v>
      </c>
      <c r="P534" s="7">
        <v>3182739</v>
      </c>
      <c r="Q534" s="7">
        <v>6648269.4100000001</v>
      </c>
      <c r="R534" s="7">
        <v>0</v>
      </c>
      <c r="S534" s="7">
        <v>127</v>
      </c>
      <c r="T534" s="7">
        <v>0</v>
      </c>
      <c r="U534" s="7">
        <v>0</v>
      </c>
      <c r="V534" s="9">
        <v>46189.853409826392</v>
      </c>
    </row>
    <row r="535" spans="1:22" x14ac:dyDescent="0.2">
      <c r="A535" s="8">
        <v>45977</v>
      </c>
      <c r="B535" s="7">
        <v>21</v>
      </c>
      <c r="C535" s="7">
        <v>1.7</v>
      </c>
      <c r="D535" s="7">
        <v>99558.222999999998</v>
      </c>
      <c r="E535" s="7">
        <v>0</v>
      </c>
      <c r="F535" s="7">
        <v>2116478.98</v>
      </c>
      <c r="G535" s="7">
        <v>-25756.28</v>
      </c>
      <c r="H535" s="7">
        <v>0</v>
      </c>
      <c r="I535" s="7">
        <v>2090722.7</v>
      </c>
      <c r="J535" s="7">
        <v>47000</v>
      </c>
      <c r="K535" s="7">
        <v>0</v>
      </c>
      <c r="L535" s="7">
        <v>355627.3</v>
      </c>
      <c r="M535" s="7">
        <v>2493350</v>
      </c>
      <c r="N535" s="7">
        <v>198782.95</v>
      </c>
      <c r="O535" s="7">
        <v>1891939.75</v>
      </c>
      <c r="P535" s="7">
        <v>544596</v>
      </c>
      <c r="Q535" s="7">
        <v>1347343.75</v>
      </c>
      <c r="R535" s="7">
        <v>0</v>
      </c>
      <c r="S535" s="7">
        <v>35</v>
      </c>
      <c r="T535" s="7">
        <v>0</v>
      </c>
      <c r="U535" s="7">
        <v>0</v>
      </c>
      <c r="V535" s="9">
        <v>46189.853409826392</v>
      </c>
    </row>
    <row r="536" spans="1:22" x14ac:dyDescent="0.2">
      <c r="A536" s="8">
        <v>45978</v>
      </c>
      <c r="B536" s="7">
        <v>12</v>
      </c>
      <c r="C536" s="7">
        <v>3</v>
      </c>
      <c r="D536" s="7">
        <v>164440.476</v>
      </c>
      <c r="E536" s="7">
        <v>-5</v>
      </c>
      <c r="F536" s="7">
        <v>2208579.8199999998</v>
      </c>
      <c r="G536" s="7">
        <v>-35294.1</v>
      </c>
      <c r="H536" s="7">
        <v>-153781.53</v>
      </c>
      <c r="I536" s="7">
        <v>2019504.19</v>
      </c>
      <c r="J536" s="7">
        <v>50500</v>
      </c>
      <c r="K536" s="7">
        <v>0</v>
      </c>
      <c r="L536" s="7">
        <v>324995.81</v>
      </c>
      <c r="M536" s="7">
        <v>2395000</v>
      </c>
      <c r="N536" s="7">
        <v>136554.6</v>
      </c>
      <c r="O536" s="7">
        <v>1882949.59</v>
      </c>
      <c r="P536" s="7">
        <v>630873</v>
      </c>
      <c r="Q536" s="7">
        <v>1252076.5900000001</v>
      </c>
      <c r="R536" s="7">
        <v>0</v>
      </c>
      <c r="S536" s="7">
        <v>35</v>
      </c>
      <c r="T536" s="7">
        <v>0</v>
      </c>
      <c r="U536" s="7">
        <v>0</v>
      </c>
      <c r="V536" s="9">
        <v>46189.853409826392</v>
      </c>
    </row>
    <row r="537" spans="1:22" x14ac:dyDescent="0.2">
      <c r="A537" s="8">
        <v>45979</v>
      </c>
      <c r="B537" s="7">
        <v>24</v>
      </c>
      <c r="C537" s="7">
        <v>2.4</v>
      </c>
      <c r="D537" s="7">
        <v>168837.88399999999</v>
      </c>
      <c r="E537" s="7">
        <v>0</v>
      </c>
      <c r="F537" s="7">
        <v>4215554.57</v>
      </c>
      <c r="G537" s="7">
        <v>-163445.34</v>
      </c>
      <c r="H537" s="7">
        <v>0</v>
      </c>
      <c r="I537" s="7">
        <v>4052109.23</v>
      </c>
      <c r="J537" s="7">
        <v>65000</v>
      </c>
      <c r="K537" s="7">
        <v>0</v>
      </c>
      <c r="L537" s="7">
        <v>764390.77</v>
      </c>
      <c r="M537" s="7">
        <v>4881500</v>
      </c>
      <c r="N537" s="7">
        <v>99159.65</v>
      </c>
      <c r="O537" s="7">
        <v>3952949.58</v>
      </c>
      <c r="P537" s="7">
        <v>1168210</v>
      </c>
      <c r="Q537" s="7">
        <v>2784739.58</v>
      </c>
      <c r="R537" s="7">
        <v>0</v>
      </c>
      <c r="S537" s="7">
        <v>58</v>
      </c>
      <c r="T537" s="7">
        <v>0</v>
      </c>
      <c r="U537" s="7">
        <v>0</v>
      </c>
      <c r="V537" s="9">
        <v>46189.853409826392</v>
      </c>
    </row>
    <row r="538" spans="1:22" x14ac:dyDescent="0.2">
      <c r="A538" s="8">
        <v>45980</v>
      </c>
      <c r="B538" s="7">
        <v>23</v>
      </c>
      <c r="C538" s="7">
        <v>4</v>
      </c>
      <c r="D538" s="7">
        <v>245929.85</v>
      </c>
      <c r="E538" s="7">
        <v>-3</v>
      </c>
      <c r="F538" s="7">
        <v>6011008.21</v>
      </c>
      <c r="G538" s="7">
        <v>-354621.65</v>
      </c>
      <c r="H538" s="7">
        <v>-25901.3</v>
      </c>
      <c r="I538" s="7">
        <v>5630485.2599999998</v>
      </c>
      <c r="J538" s="7">
        <v>86500</v>
      </c>
      <c r="K538" s="7">
        <v>0</v>
      </c>
      <c r="L538" s="7">
        <v>1035592.2</v>
      </c>
      <c r="M538" s="7">
        <v>6752577.46</v>
      </c>
      <c r="N538" s="7">
        <v>92285.7</v>
      </c>
      <c r="O538" s="7">
        <v>5538199.5599999996</v>
      </c>
      <c r="P538" s="7">
        <v>1662209</v>
      </c>
      <c r="Q538" s="7">
        <v>3875990.56</v>
      </c>
      <c r="R538" s="7">
        <v>400000</v>
      </c>
      <c r="S538" s="7">
        <v>90</v>
      </c>
      <c r="T538" s="7">
        <v>0</v>
      </c>
      <c r="U538" s="7">
        <v>400000</v>
      </c>
      <c r="V538" s="9">
        <v>46189.853409826392</v>
      </c>
    </row>
    <row r="539" spans="1:22" x14ac:dyDescent="0.2">
      <c r="A539" s="8">
        <v>45981</v>
      </c>
      <c r="B539" s="7">
        <v>43</v>
      </c>
      <c r="C539" s="7">
        <v>3.7</v>
      </c>
      <c r="D539" s="7">
        <v>212093.024</v>
      </c>
      <c r="E539" s="7">
        <v>-10</v>
      </c>
      <c r="F539" s="7">
        <v>9380924.3300000001</v>
      </c>
      <c r="G539" s="7">
        <v>-260924.29</v>
      </c>
      <c r="H539" s="7">
        <v>-51955.68</v>
      </c>
      <c r="I539" s="7">
        <v>9068044.3599999994</v>
      </c>
      <c r="J539" s="7">
        <v>130000</v>
      </c>
      <c r="K539" s="7">
        <v>0</v>
      </c>
      <c r="L539" s="7">
        <v>1709628.38</v>
      </c>
      <c r="M539" s="7">
        <v>10907672.74</v>
      </c>
      <c r="N539" s="7">
        <v>592436.96</v>
      </c>
      <c r="O539" s="7">
        <v>8475607.4000000004</v>
      </c>
      <c r="P539" s="7">
        <v>2395480</v>
      </c>
      <c r="Q539" s="7">
        <v>6080127.4000000004</v>
      </c>
      <c r="R539" s="7">
        <v>0</v>
      </c>
      <c r="S539" s="7">
        <v>149</v>
      </c>
      <c r="T539" s="7">
        <v>0</v>
      </c>
      <c r="U539" s="7">
        <v>0</v>
      </c>
      <c r="V539" s="9">
        <v>46189.853409826392</v>
      </c>
    </row>
    <row r="540" spans="1:22" x14ac:dyDescent="0.2">
      <c r="A540" s="8">
        <v>45982</v>
      </c>
      <c r="B540" s="7">
        <v>18</v>
      </c>
      <c r="C540" s="7">
        <v>3.1</v>
      </c>
      <c r="D540" s="7">
        <v>192061.62400000001</v>
      </c>
      <c r="E540" s="7">
        <v>0</v>
      </c>
      <c r="F540" s="7">
        <v>3552739.44</v>
      </c>
      <c r="G540" s="7">
        <v>-95630.2</v>
      </c>
      <c r="H540" s="7">
        <v>0</v>
      </c>
      <c r="I540" s="7">
        <v>3457109.24</v>
      </c>
      <c r="J540" s="7">
        <v>41500</v>
      </c>
      <c r="K540" s="7">
        <v>0</v>
      </c>
      <c r="L540" s="7">
        <v>637090.76</v>
      </c>
      <c r="M540" s="7">
        <v>4135700</v>
      </c>
      <c r="N540" s="7">
        <v>133411.76</v>
      </c>
      <c r="O540" s="7">
        <v>3323697.48</v>
      </c>
      <c r="P540" s="7">
        <v>1060717</v>
      </c>
      <c r="Q540" s="7">
        <v>2262980.48</v>
      </c>
      <c r="R540" s="7">
        <v>0</v>
      </c>
      <c r="S540" s="7">
        <v>56</v>
      </c>
      <c r="T540" s="7">
        <v>0</v>
      </c>
      <c r="U540" s="7">
        <v>0</v>
      </c>
      <c r="V540" s="9">
        <v>46189.853409826392</v>
      </c>
    </row>
    <row r="541" spans="1:22" x14ac:dyDescent="0.2">
      <c r="A541" s="8">
        <v>45983</v>
      </c>
      <c r="B541" s="7">
        <v>28</v>
      </c>
      <c r="C541" s="7">
        <v>2.6</v>
      </c>
      <c r="D541" s="7">
        <v>141500.90100000001</v>
      </c>
      <c r="E541" s="7">
        <v>0</v>
      </c>
      <c r="F541" s="7">
        <v>3974630.26</v>
      </c>
      <c r="G541" s="7">
        <v>-12605.03</v>
      </c>
      <c r="H541" s="7">
        <v>0</v>
      </c>
      <c r="I541" s="7">
        <v>3962025.23</v>
      </c>
      <c r="J541" s="7">
        <v>242000</v>
      </c>
      <c r="K541" s="7">
        <v>0</v>
      </c>
      <c r="L541" s="7">
        <v>676974.77</v>
      </c>
      <c r="M541" s="7">
        <v>4881000</v>
      </c>
      <c r="N541" s="7">
        <v>323529.40999999997</v>
      </c>
      <c r="O541" s="7">
        <v>3638495.82</v>
      </c>
      <c r="P541" s="7">
        <v>1016434</v>
      </c>
      <c r="Q541" s="7">
        <v>2622061.8199999998</v>
      </c>
      <c r="R541" s="7">
        <v>0</v>
      </c>
      <c r="S541" s="7">
        <v>73</v>
      </c>
      <c r="T541" s="7">
        <v>0</v>
      </c>
      <c r="U541" s="7">
        <v>0</v>
      </c>
      <c r="V541" s="9">
        <v>46189.853409826392</v>
      </c>
    </row>
    <row r="542" spans="1:22" x14ac:dyDescent="0.2">
      <c r="A542" s="8">
        <v>45984</v>
      </c>
      <c r="B542" s="7">
        <v>26</v>
      </c>
      <c r="C542" s="7">
        <v>2.7</v>
      </c>
      <c r="D542" s="7">
        <v>217576.6</v>
      </c>
      <c r="E542" s="7">
        <v>0</v>
      </c>
      <c r="F542" s="7">
        <v>6121067.1900000004</v>
      </c>
      <c r="G542" s="7">
        <v>-245588.2</v>
      </c>
      <c r="H542" s="7">
        <v>0</v>
      </c>
      <c r="I542" s="7">
        <v>5875478.9900000002</v>
      </c>
      <c r="J542" s="7">
        <v>18000</v>
      </c>
      <c r="K542" s="7">
        <v>0</v>
      </c>
      <c r="L542" s="7">
        <v>1058771.01</v>
      </c>
      <c r="M542" s="7">
        <v>6952250</v>
      </c>
      <c r="N542" s="7">
        <v>29411.759999999998</v>
      </c>
      <c r="O542" s="7">
        <v>5846067.2300000004</v>
      </c>
      <c r="P542" s="7">
        <v>1992328</v>
      </c>
      <c r="Q542" s="7">
        <v>3853739.23</v>
      </c>
      <c r="R542" s="7">
        <v>0</v>
      </c>
      <c r="S542" s="7">
        <v>72</v>
      </c>
      <c r="T542" s="7">
        <v>0</v>
      </c>
      <c r="U542" s="7">
        <v>0</v>
      </c>
      <c r="V542" s="9">
        <v>46189.853409826392</v>
      </c>
    </row>
    <row r="543" spans="1:22" x14ac:dyDescent="0.2">
      <c r="A543" s="8">
        <v>45985</v>
      </c>
      <c r="B543" s="7">
        <v>42</v>
      </c>
      <c r="C543" s="7">
        <v>3.6</v>
      </c>
      <c r="D543" s="7">
        <v>255534.01300000001</v>
      </c>
      <c r="E543" s="7">
        <v>0</v>
      </c>
      <c r="F543" s="7">
        <v>11918352.880000001</v>
      </c>
      <c r="G543" s="7">
        <v>-1185924.3</v>
      </c>
      <c r="H543" s="7">
        <v>0</v>
      </c>
      <c r="I543" s="7">
        <v>10732428.58</v>
      </c>
      <c r="J543" s="7">
        <v>133501</v>
      </c>
      <c r="K543" s="7">
        <v>0</v>
      </c>
      <c r="L543" s="7">
        <v>1975321.42</v>
      </c>
      <c r="M543" s="7">
        <v>12841251</v>
      </c>
      <c r="N543" s="7">
        <v>218487.39</v>
      </c>
      <c r="O543" s="7">
        <v>10513941.189999999</v>
      </c>
      <c r="P543" s="7">
        <v>3252421</v>
      </c>
      <c r="Q543" s="7">
        <v>7261520.1900000004</v>
      </c>
      <c r="R543" s="7">
        <v>0</v>
      </c>
      <c r="S543" s="7">
        <v>151</v>
      </c>
      <c r="T543" s="7">
        <v>0</v>
      </c>
      <c r="U543" s="7">
        <v>0</v>
      </c>
      <c r="V543" s="9">
        <v>46189.853409826392</v>
      </c>
    </row>
    <row r="544" spans="1:22" x14ac:dyDescent="0.2">
      <c r="A544" s="8">
        <v>45986</v>
      </c>
      <c r="B544" s="7">
        <v>29</v>
      </c>
      <c r="C544" s="7">
        <v>4.9000000000000004</v>
      </c>
      <c r="D544" s="7">
        <v>345882.64299999998</v>
      </c>
      <c r="E544" s="7">
        <v>0</v>
      </c>
      <c r="F544" s="7">
        <v>11232403.050000001</v>
      </c>
      <c r="G544" s="7">
        <v>-1201806.3999999999</v>
      </c>
      <c r="H544" s="7">
        <v>0</v>
      </c>
      <c r="I544" s="7">
        <v>10030596.65</v>
      </c>
      <c r="J544" s="7">
        <v>81000</v>
      </c>
      <c r="K544" s="7">
        <v>0</v>
      </c>
      <c r="L544" s="7">
        <v>1895553.35</v>
      </c>
      <c r="M544" s="7">
        <v>12007150</v>
      </c>
      <c r="N544" s="7">
        <v>54000</v>
      </c>
      <c r="O544" s="7">
        <v>9976596.6500000004</v>
      </c>
      <c r="P544" s="7">
        <v>3182614</v>
      </c>
      <c r="Q544" s="7">
        <v>6793982.6500000004</v>
      </c>
      <c r="R544" s="7">
        <v>0</v>
      </c>
      <c r="S544" s="7">
        <v>142</v>
      </c>
      <c r="T544" s="7">
        <v>0</v>
      </c>
      <c r="U544" s="7">
        <v>0</v>
      </c>
      <c r="V544" s="9">
        <v>46189.853409826392</v>
      </c>
    </row>
    <row r="545" spans="1:22" x14ac:dyDescent="0.2">
      <c r="A545" s="8">
        <v>45987</v>
      </c>
      <c r="B545" s="7">
        <v>45</v>
      </c>
      <c r="C545" s="7">
        <v>4.4000000000000004</v>
      </c>
      <c r="D545" s="7">
        <v>205014.005</v>
      </c>
      <c r="E545" s="7">
        <v>0</v>
      </c>
      <c r="F545" s="7">
        <v>9846638.5999999996</v>
      </c>
      <c r="G545" s="7">
        <v>-621008.35</v>
      </c>
      <c r="H545" s="7">
        <v>0</v>
      </c>
      <c r="I545" s="7">
        <v>9225630.25</v>
      </c>
      <c r="J545" s="7">
        <v>83000</v>
      </c>
      <c r="K545" s="7">
        <v>0</v>
      </c>
      <c r="L545" s="7">
        <v>1752869.75</v>
      </c>
      <c r="M545" s="7">
        <v>11061500</v>
      </c>
      <c r="N545" s="7">
        <v>654411.76</v>
      </c>
      <c r="O545" s="7">
        <v>8571218.4900000002</v>
      </c>
      <c r="P545" s="7">
        <v>3017558</v>
      </c>
      <c r="Q545" s="7">
        <v>5553660.4900000002</v>
      </c>
      <c r="R545" s="7">
        <v>0</v>
      </c>
      <c r="S545" s="7">
        <v>198</v>
      </c>
      <c r="T545" s="7">
        <v>0</v>
      </c>
      <c r="U545" s="7">
        <v>0</v>
      </c>
      <c r="V545" s="9">
        <v>46189.853409826392</v>
      </c>
    </row>
    <row r="546" spans="1:22" x14ac:dyDescent="0.2">
      <c r="A546" s="8">
        <v>45988</v>
      </c>
      <c r="B546" s="7">
        <v>35</v>
      </c>
      <c r="C546" s="7">
        <v>3.1</v>
      </c>
      <c r="D546" s="7">
        <v>157791.14499999999</v>
      </c>
      <c r="E546" s="7">
        <v>0</v>
      </c>
      <c r="F546" s="7">
        <v>5734454.7999999998</v>
      </c>
      <c r="G546" s="7">
        <v>-211764.7</v>
      </c>
      <c r="H546" s="7">
        <v>0</v>
      </c>
      <c r="I546" s="7">
        <v>5522690.0999999996</v>
      </c>
      <c r="J546" s="7">
        <v>59500</v>
      </c>
      <c r="K546" s="7">
        <v>0</v>
      </c>
      <c r="L546" s="7">
        <v>1049310.8999999999</v>
      </c>
      <c r="M546" s="7">
        <v>6631501</v>
      </c>
      <c r="N546" s="7">
        <v>1</v>
      </c>
      <c r="O546" s="7">
        <v>5522689.0999999996</v>
      </c>
      <c r="P546" s="7">
        <v>1846197</v>
      </c>
      <c r="Q546" s="7">
        <v>3676492.1</v>
      </c>
      <c r="R546" s="7">
        <v>0</v>
      </c>
      <c r="S546" s="7">
        <v>107</v>
      </c>
      <c r="T546" s="7">
        <v>0</v>
      </c>
      <c r="U546" s="7">
        <v>0</v>
      </c>
      <c r="V546" s="9">
        <v>46189.853409826392</v>
      </c>
    </row>
    <row r="547" spans="1:22" x14ac:dyDescent="0.2">
      <c r="A547" s="8">
        <v>45989</v>
      </c>
      <c r="B547" s="7">
        <v>48</v>
      </c>
      <c r="C547" s="7">
        <v>3.7</v>
      </c>
      <c r="D547" s="7">
        <v>234508.402</v>
      </c>
      <c r="E547" s="7">
        <v>-1</v>
      </c>
      <c r="F547" s="7">
        <v>12248420.02</v>
      </c>
      <c r="G547" s="7">
        <v>-487815.01</v>
      </c>
      <c r="H547" s="7">
        <v>-100840.34</v>
      </c>
      <c r="I547" s="7">
        <v>11659764.67</v>
      </c>
      <c r="J547" s="7">
        <v>114000</v>
      </c>
      <c r="K547" s="7">
        <v>0</v>
      </c>
      <c r="L547" s="7">
        <v>2196735.33</v>
      </c>
      <c r="M547" s="7">
        <v>13970500</v>
      </c>
      <c r="N547" s="7">
        <v>58823.519999999997</v>
      </c>
      <c r="O547" s="7">
        <v>11600941.15</v>
      </c>
      <c r="P547" s="7">
        <v>3584031</v>
      </c>
      <c r="Q547" s="7">
        <v>8016910.1500000004</v>
      </c>
      <c r="R547" s="7">
        <v>0</v>
      </c>
      <c r="S547" s="7">
        <v>187</v>
      </c>
      <c r="T547" s="7">
        <v>0</v>
      </c>
      <c r="U547" s="7">
        <v>0</v>
      </c>
      <c r="V547" s="9">
        <v>46189.853409826392</v>
      </c>
    </row>
    <row r="548" spans="1:22" x14ac:dyDescent="0.2">
      <c r="A548" s="8">
        <v>45990</v>
      </c>
      <c r="B548" s="7">
        <v>41</v>
      </c>
      <c r="C548" s="7">
        <v>2.5</v>
      </c>
      <c r="D548" s="7">
        <v>146525.92800000001</v>
      </c>
      <c r="E548" s="7">
        <v>0</v>
      </c>
      <c r="F548" s="7">
        <v>6007563.0700000003</v>
      </c>
      <c r="G548" s="7">
        <v>0</v>
      </c>
      <c r="H548" s="7">
        <v>0</v>
      </c>
      <c r="I548" s="7">
        <v>6007563.0700000003</v>
      </c>
      <c r="J548" s="7">
        <v>68500</v>
      </c>
      <c r="K548" s="7">
        <v>0</v>
      </c>
      <c r="L548" s="7">
        <v>1141436.93</v>
      </c>
      <c r="M548" s="7">
        <v>7217500</v>
      </c>
      <c r="N548" s="7">
        <v>29411.759999999998</v>
      </c>
      <c r="O548" s="7">
        <v>5978151.3099999996</v>
      </c>
      <c r="P548" s="7">
        <v>1948439</v>
      </c>
      <c r="Q548" s="7">
        <v>4029712.31</v>
      </c>
      <c r="R548" s="7">
        <v>0</v>
      </c>
      <c r="S548" s="7">
        <v>103</v>
      </c>
      <c r="T548" s="7">
        <v>0</v>
      </c>
      <c r="U548" s="7">
        <v>0</v>
      </c>
      <c r="V548" s="9">
        <v>46189.853409826392</v>
      </c>
    </row>
    <row r="549" spans="1:22" x14ac:dyDescent="0.2">
      <c r="A549" s="8">
        <v>45991</v>
      </c>
      <c r="B549" s="7">
        <v>33</v>
      </c>
      <c r="C549" s="7">
        <v>2.8</v>
      </c>
      <c r="D549" s="7">
        <v>166182.83600000001</v>
      </c>
      <c r="E549" s="7">
        <v>0</v>
      </c>
      <c r="F549" s="7">
        <v>5568067.2199999997</v>
      </c>
      <c r="G549" s="7">
        <v>0</v>
      </c>
      <c r="H549" s="7">
        <v>0</v>
      </c>
      <c r="I549" s="7">
        <v>5568067.2199999997</v>
      </c>
      <c r="J549" s="7">
        <v>110000</v>
      </c>
      <c r="K549" s="7">
        <v>0</v>
      </c>
      <c r="L549" s="7">
        <v>1057932.78</v>
      </c>
      <c r="M549" s="7">
        <v>6736000</v>
      </c>
      <c r="N549" s="7">
        <v>319747.90000000002</v>
      </c>
      <c r="O549" s="7">
        <v>5248319.32</v>
      </c>
      <c r="P549" s="7">
        <v>1403996</v>
      </c>
      <c r="Q549" s="7">
        <v>3844323.32</v>
      </c>
      <c r="R549" s="7">
        <v>0</v>
      </c>
      <c r="S549" s="7">
        <v>96</v>
      </c>
      <c r="T549" s="7">
        <v>0</v>
      </c>
      <c r="U549" s="7">
        <v>0</v>
      </c>
      <c r="V549" s="9">
        <v>46189.853409826392</v>
      </c>
    </row>
    <row r="550" spans="1:22" x14ac:dyDescent="0.2">
      <c r="A550" s="8">
        <v>45992</v>
      </c>
      <c r="B550" s="7">
        <v>33</v>
      </c>
      <c r="C550" s="7">
        <v>3.8</v>
      </c>
      <c r="D550" s="7">
        <v>273595.62</v>
      </c>
      <c r="E550" s="7">
        <v>-4</v>
      </c>
      <c r="F550" s="7">
        <v>9477731.0700000003</v>
      </c>
      <c r="G550" s="7">
        <v>-365042</v>
      </c>
      <c r="H550" s="7">
        <v>-243697.48</v>
      </c>
      <c r="I550" s="7">
        <v>8868991.5899999999</v>
      </c>
      <c r="J550" s="7">
        <v>113501</v>
      </c>
      <c r="K550" s="7">
        <v>0</v>
      </c>
      <c r="L550" s="7">
        <v>1647108.41</v>
      </c>
      <c r="M550" s="7">
        <v>10629601</v>
      </c>
      <c r="N550" s="7">
        <v>113445.38</v>
      </c>
      <c r="O550" s="7">
        <v>8755546.2100000009</v>
      </c>
      <c r="P550" s="7">
        <v>3048098</v>
      </c>
      <c r="Q550" s="7">
        <v>5707448.21</v>
      </c>
      <c r="R550" s="7">
        <v>0</v>
      </c>
      <c r="S550" s="7">
        <v>130</v>
      </c>
      <c r="T550" s="7">
        <v>0</v>
      </c>
      <c r="U550" s="7">
        <v>0</v>
      </c>
      <c r="V550" s="9">
        <v>46189.853409826392</v>
      </c>
    </row>
    <row r="551" spans="1:22" x14ac:dyDescent="0.2">
      <c r="A551" s="8">
        <v>45993</v>
      </c>
      <c r="B551" s="7">
        <v>46</v>
      </c>
      <c r="C551" s="7">
        <v>2.8</v>
      </c>
      <c r="D551" s="7">
        <v>160724.516</v>
      </c>
      <c r="E551" s="7">
        <v>-1</v>
      </c>
      <c r="F551" s="7">
        <v>7509327.75</v>
      </c>
      <c r="G551" s="7">
        <v>0</v>
      </c>
      <c r="H551" s="7">
        <v>-116000</v>
      </c>
      <c r="I551" s="7">
        <v>7393327.75</v>
      </c>
      <c r="J551" s="7">
        <v>124500</v>
      </c>
      <c r="K551" s="7">
        <v>0</v>
      </c>
      <c r="L551" s="7">
        <v>1352672.25</v>
      </c>
      <c r="M551" s="7">
        <v>8870500</v>
      </c>
      <c r="N551" s="7">
        <v>360058.81</v>
      </c>
      <c r="O551" s="7">
        <v>7033268.9400000004</v>
      </c>
      <c r="P551" s="7">
        <v>2418958</v>
      </c>
      <c r="Q551" s="7">
        <v>4614310.9400000004</v>
      </c>
      <c r="R551" s="7">
        <v>0</v>
      </c>
      <c r="S551" s="7">
        <v>128</v>
      </c>
      <c r="T551" s="7">
        <v>0</v>
      </c>
      <c r="U551" s="7">
        <v>0</v>
      </c>
      <c r="V551" s="9">
        <v>46189.853409826392</v>
      </c>
    </row>
    <row r="552" spans="1:22" x14ac:dyDescent="0.2">
      <c r="A552" s="8">
        <v>45994</v>
      </c>
      <c r="B552" s="7">
        <v>79</v>
      </c>
      <c r="C552" s="7">
        <v>3.6</v>
      </c>
      <c r="D552" s="7">
        <v>233183.38399999999</v>
      </c>
      <c r="E552" s="7">
        <v>0</v>
      </c>
      <c r="F552" s="7">
        <v>18520226.84</v>
      </c>
      <c r="G552" s="7">
        <v>-98739.49</v>
      </c>
      <c r="H552" s="7">
        <v>0</v>
      </c>
      <c r="I552" s="7">
        <v>18421487.350000001</v>
      </c>
      <c r="J552" s="7">
        <v>197000</v>
      </c>
      <c r="K552" s="7">
        <v>0</v>
      </c>
      <c r="L552" s="7">
        <v>3480512.65</v>
      </c>
      <c r="M552" s="7">
        <v>22099000</v>
      </c>
      <c r="N552" s="7">
        <v>958201.64</v>
      </c>
      <c r="O552" s="7">
        <v>17463285.710000001</v>
      </c>
      <c r="P552" s="7">
        <v>5416387</v>
      </c>
      <c r="Q552" s="7">
        <v>12046898.710000001</v>
      </c>
      <c r="R552" s="7">
        <v>0</v>
      </c>
      <c r="S552" s="7">
        <v>282</v>
      </c>
      <c r="T552" s="7">
        <v>0</v>
      </c>
      <c r="U552" s="7">
        <v>0</v>
      </c>
      <c r="V552" s="9">
        <v>46189.853409826392</v>
      </c>
    </row>
    <row r="553" spans="1:22" x14ac:dyDescent="0.2">
      <c r="A553" s="8">
        <v>45995</v>
      </c>
      <c r="B553" s="7">
        <v>45</v>
      </c>
      <c r="C553" s="7">
        <v>3.9</v>
      </c>
      <c r="D553" s="7">
        <v>222651.728</v>
      </c>
      <c r="E553" s="7">
        <v>0</v>
      </c>
      <c r="F553" s="7">
        <v>10057142.890000001</v>
      </c>
      <c r="G553" s="7">
        <v>0</v>
      </c>
      <c r="H553" s="7">
        <v>0</v>
      </c>
      <c r="I553" s="7">
        <v>10057142.890000001</v>
      </c>
      <c r="J553" s="7">
        <v>157000</v>
      </c>
      <c r="K553" s="7">
        <v>0</v>
      </c>
      <c r="L553" s="7">
        <v>1910857.11</v>
      </c>
      <c r="M553" s="7">
        <v>12125000</v>
      </c>
      <c r="N553" s="7">
        <v>411764.7</v>
      </c>
      <c r="O553" s="7">
        <v>9645378.1899999995</v>
      </c>
      <c r="P553" s="7">
        <v>3001977</v>
      </c>
      <c r="Q553" s="7">
        <v>6643401.1900000004</v>
      </c>
      <c r="R553" s="7">
        <v>0</v>
      </c>
      <c r="S553" s="7">
        <v>178</v>
      </c>
      <c r="T553" s="7">
        <v>0</v>
      </c>
      <c r="U553" s="7">
        <v>0</v>
      </c>
      <c r="V553" s="9">
        <v>46189.853409826392</v>
      </c>
    </row>
    <row r="554" spans="1:22" x14ac:dyDescent="0.2">
      <c r="A554" s="8">
        <v>45996</v>
      </c>
      <c r="B554" s="7">
        <v>37</v>
      </c>
      <c r="C554" s="7">
        <v>4</v>
      </c>
      <c r="D554" s="7">
        <v>190217.15100000001</v>
      </c>
      <c r="E554" s="7">
        <v>-1</v>
      </c>
      <c r="F554" s="7">
        <v>7080051.4199999999</v>
      </c>
      <c r="G554" s="7">
        <v>0</v>
      </c>
      <c r="H554" s="7">
        <v>-46218.49</v>
      </c>
      <c r="I554" s="7">
        <v>7033832.9299999997</v>
      </c>
      <c r="J554" s="7">
        <v>79500</v>
      </c>
      <c r="K554" s="7">
        <v>0</v>
      </c>
      <c r="L554" s="7">
        <v>1326168.07</v>
      </c>
      <c r="M554" s="7">
        <v>8439501</v>
      </c>
      <c r="N554" s="7">
        <v>1444757.29</v>
      </c>
      <c r="O554" s="7">
        <v>5589075.6399999997</v>
      </c>
      <c r="P554" s="7">
        <v>1797622</v>
      </c>
      <c r="Q554" s="7">
        <v>3791453.64</v>
      </c>
      <c r="R554" s="7">
        <v>0</v>
      </c>
      <c r="S554" s="7">
        <v>149</v>
      </c>
      <c r="T554" s="7">
        <v>0</v>
      </c>
      <c r="U554" s="7">
        <v>0</v>
      </c>
      <c r="V554" s="9">
        <v>46189.853409826392</v>
      </c>
    </row>
    <row r="555" spans="1:22" x14ac:dyDescent="0.2">
      <c r="A555" s="8">
        <v>45997</v>
      </c>
      <c r="B555" s="7">
        <v>30</v>
      </c>
      <c r="C555" s="7">
        <v>3.1</v>
      </c>
      <c r="D555" s="7">
        <v>219159.69699999999</v>
      </c>
      <c r="E555" s="7">
        <v>0</v>
      </c>
      <c r="F555" s="7">
        <v>6894118.6600000001</v>
      </c>
      <c r="G555" s="7">
        <v>0</v>
      </c>
      <c r="H555" s="7">
        <v>0</v>
      </c>
      <c r="I555" s="7">
        <v>6894118.6600000001</v>
      </c>
      <c r="J555" s="7">
        <v>97500</v>
      </c>
      <c r="K555" s="7">
        <v>0</v>
      </c>
      <c r="L555" s="7">
        <v>1309882.3400000001</v>
      </c>
      <c r="M555" s="7">
        <v>8301501</v>
      </c>
      <c r="N555" s="7">
        <v>220169.07</v>
      </c>
      <c r="O555" s="7">
        <v>6673949.5899999999</v>
      </c>
      <c r="P555" s="7">
        <v>1863140</v>
      </c>
      <c r="Q555" s="7">
        <v>4810809.59</v>
      </c>
      <c r="R555" s="7">
        <v>0</v>
      </c>
      <c r="S555" s="7">
        <v>100</v>
      </c>
      <c r="T555" s="7">
        <v>0</v>
      </c>
      <c r="U555" s="7">
        <v>0</v>
      </c>
      <c r="V555" s="9">
        <v>46189.853409826392</v>
      </c>
    </row>
    <row r="556" spans="1:22" x14ac:dyDescent="0.2">
      <c r="A556" s="8">
        <v>45998</v>
      </c>
      <c r="B556" s="7">
        <v>38</v>
      </c>
      <c r="C556" s="7">
        <v>3.8</v>
      </c>
      <c r="D556" s="7">
        <v>263069.43800000002</v>
      </c>
      <c r="E556" s="7">
        <v>-4</v>
      </c>
      <c r="F556" s="7">
        <v>10042857.16</v>
      </c>
      <c r="G556" s="7">
        <v>0</v>
      </c>
      <c r="H556" s="7">
        <v>-142857.15</v>
      </c>
      <c r="I556" s="7">
        <v>9900000.0099999998</v>
      </c>
      <c r="J556" s="7">
        <v>115500</v>
      </c>
      <c r="K556" s="7">
        <v>0</v>
      </c>
      <c r="L556" s="7">
        <v>1880999.99</v>
      </c>
      <c r="M556" s="7">
        <v>11896500</v>
      </c>
      <c r="N556" s="7">
        <v>558823.51</v>
      </c>
      <c r="O556" s="7">
        <v>9341176.5</v>
      </c>
      <c r="P556" s="7">
        <v>3523832</v>
      </c>
      <c r="Q556" s="7">
        <v>5817344.5</v>
      </c>
      <c r="R556" s="7">
        <v>0</v>
      </c>
      <c r="S556" s="7">
        <v>143</v>
      </c>
      <c r="T556" s="7">
        <v>0</v>
      </c>
      <c r="U556" s="7">
        <v>0</v>
      </c>
      <c r="V556" s="9">
        <v>46189.853409826392</v>
      </c>
    </row>
    <row r="557" spans="1:22" x14ac:dyDescent="0.2">
      <c r="A557" s="8">
        <v>45999</v>
      </c>
      <c r="B557" s="7">
        <v>39</v>
      </c>
      <c r="C557" s="7">
        <v>2.9</v>
      </c>
      <c r="D557" s="7">
        <v>202639.51699999999</v>
      </c>
      <c r="E557" s="7">
        <v>-4</v>
      </c>
      <c r="F557" s="7">
        <v>8257142.8499999996</v>
      </c>
      <c r="G557" s="7">
        <v>-23109.24</v>
      </c>
      <c r="H557" s="7">
        <v>-184873.96</v>
      </c>
      <c r="I557" s="7">
        <v>8049159.6500000004</v>
      </c>
      <c r="J557" s="7">
        <v>104500</v>
      </c>
      <c r="K557" s="7">
        <v>0</v>
      </c>
      <c r="L557" s="7">
        <v>1529340.35</v>
      </c>
      <c r="M557" s="7">
        <v>9683000</v>
      </c>
      <c r="N557" s="7">
        <v>117647.05</v>
      </c>
      <c r="O557" s="7">
        <v>7931512.5999999996</v>
      </c>
      <c r="P557" s="7">
        <v>2565014</v>
      </c>
      <c r="Q557" s="7">
        <v>5366498.5999999996</v>
      </c>
      <c r="R557" s="7">
        <v>0</v>
      </c>
      <c r="S557" s="7">
        <v>118</v>
      </c>
      <c r="T557" s="7">
        <v>0</v>
      </c>
      <c r="U557" s="7">
        <v>0</v>
      </c>
      <c r="V557" s="9">
        <v>46189.853409826392</v>
      </c>
    </row>
    <row r="558" spans="1:22" x14ac:dyDescent="0.2">
      <c r="A558" s="8">
        <v>46000</v>
      </c>
      <c r="B558" s="7">
        <v>62</v>
      </c>
      <c r="C558" s="7">
        <v>2.2000000000000002</v>
      </c>
      <c r="D558" s="7">
        <v>154455.94899999999</v>
      </c>
      <c r="E558" s="7">
        <v>-1</v>
      </c>
      <c r="F558" s="7">
        <v>9706520.9900000002</v>
      </c>
      <c r="G558" s="7">
        <v>0</v>
      </c>
      <c r="H558" s="7">
        <v>-84033.61</v>
      </c>
      <c r="I558" s="7">
        <v>9622487.3800000008</v>
      </c>
      <c r="J558" s="7">
        <v>144501</v>
      </c>
      <c r="K558" s="7">
        <v>0</v>
      </c>
      <c r="L558" s="7">
        <v>1789512.62</v>
      </c>
      <c r="M558" s="7">
        <v>11556501</v>
      </c>
      <c r="N558" s="7">
        <v>88235.28</v>
      </c>
      <c r="O558" s="7">
        <v>9534252.0999999996</v>
      </c>
      <c r="P558" s="7">
        <v>3046918</v>
      </c>
      <c r="Q558" s="7">
        <v>6487334.0999999996</v>
      </c>
      <c r="R558" s="7">
        <v>0</v>
      </c>
      <c r="S558" s="7">
        <v>135</v>
      </c>
      <c r="T558" s="7">
        <v>0</v>
      </c>
      <c r="U558" s="7">
        <v>0</v>
      </c>
      <c r="V558" s="9">
        <v>46189.853409826392</v>
      </c>
    </row>
    <row r="559" spans="1:22" x14ac:dyDescent="0.2">
      <c r="A559" s="8">
        <v>46001</v>
      </c>
      <c r="B559" s="7">
        <v>81</v>
      </c>
      <c r="C559" s="7">
        <v>2.7</v>
      </c>
      <c r="D559" s="7">
        <v>183373.58600000001</v>
      </c>
      <c r="E559" s="7">
        <v>-3</v>
      </c>
      <c r="F559" s="7">
        <v>14853260.529999999</v>
      </c>
      <c r="G559" s="7">
        <v>0</v>
      </c>
      <c r="H559" s="7">
        <v>-205882.36</v>
      </c>
      <c r="I559" s="7">
        <v>14647378.17</v>
      </c>
      <c r="J559" s="7">
        <v>121000</v>
      </c>
      <c r="K559" s="7">
        <v>0</v>
      </c>
      <c r="L559" s="7">
        <v>2708521.83</v>
      </c>
      <c r="M559" s="7">
        <v>17476900</v>
      </c>
      <c r="N559" s="7">
        <v>345134.44</v>
      </c>
      <c r="O559" s="7">
        <v>14302243.73</v>
      </c>
      <c r="P559" s="7">
        <v>4356913</v>
      </c>
      <c r="Q559" s="7">
        <v>9945330.7300000004</v>
      </c>
      <c r="R559" s="7">
        <v>0</v>
      </c>
      <c r="S559" s="7">
        <v>215</v>
      </c>
      <c r="T559" s="7">
        <v>0</v>
      </c>
      <c r="U559" s="7">
        <v>0</v>
      </c>
      <c r="V559" s="9">
        <v>46189.853409826392</v>
      </c>
    </row>
    <row r="560" spans="1:22" x14ac:dyDescent="0.2">
      <c r="A560" s="8">
        <v>46002</v>
      </c>
      <c r="B560" s="7">
        <v>119</v>
      </c>
      <c r="C560" s="7">
        <v>2.1</v>
      </c>
      <c r="D560" s="7">
        <v>123871.13400000001</v>
      </c>
      <c r="E560" s="7">
        <v>-2</v>
      </c>
      <c r="F560" s="7">
        <v>14750748.99</v>
      </c>
      <c r="G560" s="7">
        <v>0</v>
      </c>
      <c r="H560" s="7">
        <v>-18823.53</v>
      </c>
      <c r="I560" s="7">
        <v>14731925.460000001</v>
      </c>
      <c r="J560" s="7">
        <v>139000</v>
      </c>
      <c r="K560" s="7">
        <v>0</v>
      </c>
      <c r="L560" s="7">
        <v>2650675.54</v>
      </c>
      <c r="M560" s="7">
        <v>17521601</v>
      </c>
      <c r="N560" s="7">
        <v>174874.92</v>
      </c>
      <c r="O560" s="7">
        <v>14557050.539999999</v>
      </c>
      <c r="P560" s="7">
        <v>4427725</v>
      </c>
      <c r="Q560" s="7">
        <v>10129325.539999999</v>
      </c>
      <c r="R560" s="7">
        <v>0</v>
      </c>
      <c r="S560" s="7">
        <v>246</v>
      </c>
      <c r="T560" s="7">
        <v>0</v>
      </c>
      <c r="U560" s="7">
        <v>0</v>
      </c>
      <c r="V560" s="9">
        <v>46189.853409826392</v>
      </c>
    </row>
    <row r="561" spans="1:22" x14ac:dyDescent="0.2">
      <c r="A561" s="8">
        <v>46003</v>
      </c>
      <c r="B561" s="7">
        <v>107</v>
      </c>
      <c r="C561" s="7">
        <v>2.7</v>
      </c>
      <c r="D561" s="7">
        <v>170833.51300000001</v>
      </c>
      <c r="E561" s="7">
        <v>-1</v>
      </c>
      <c r="F561" s="7">
        <v>18479185.949999999</v>
      </c>
      <c r="G561" s="7">
        <v>-141176.46</v>
      </c>
      <c r="H561" s="7">
        <v>-100840.33</v>
      </c>
      <c r="I561" s="7">
        <v>18237169.16</v>
      </c>
      <c r="J561" s="7">
        <v>79500</v>
      </c>
      <c r="K561" s="7">
        <v>0</v>
      </c>
      <c r="L561" s="7">
        <v>3423831.84</v>
      </c>
      <c r="M561" s="7">
        <v>21740501</v>
      </c>
      <c r="N561" s="7">
        <v>286555.59000000003</v>
      </c>
      <c r="O561" s="7">
        <v>17950613.57</v>
      </c>
      <c r="P561" s="7">
        <v>5673593</v>
      </c>
      <c r="Q561" s="7">
        <v>12277020.57</v>
      </c>
      <c r="R561" s="7">
        <v>0</v>
      </c>
      <c r="S561" s="7">
        <v>294</v>
      </c>
      <c r="T561" s="7">
        <v>0</v>
      </c>
      <c r="U561" s="7">
        <v>0</v>
      </c>
      <c r="V561" s="9">
        <v>46189.853409826392</v>
      </c>
    </row>
    <row r="562" spans="1:22" x14ac:dyDescent="0.2">
      <c r="A562" s="8">
        <v>46004</v>
      </c>
      <c r="B562" s="7">
        <v>141</v>
      </c>
      <c r="C562" s="7">
        <v>2.1</v>
      </c>
      <c r="D562" s="7">
        <v>128623.29300000001</v>
      </c>
      <c r="E562" s="7">
        <v>-1</v>
      </c>
      <c r="F562" s="7">
        <v>18146388.600000001</v>
      </c>
      <c r="G562" s="7">
        <v>0</v>
      </c>
      <c r="H562" s="7">
        <v>-46218.49</v>
      </c>
      <c r="I562" s="7">
        <v>18100170.109999999</v>
      </c>
      <c r="J562" s="7">
        <v>173500</v>
      </c>
      <c r="K562" s="7">
        <v>0</v>
      </c>
      <c r="L562" s="7">
        <v>3273731.89</v>
      </c>
      <c r="M562" s="7">
        <v>21547402</v>
      </c>
      <c r="N562" s="7">
        <v>150758.26999999999</v>
      </c>
      <c r="O562" s="7">
        <v>17949411.84</v>
      </c>
      <c r="P562" s="7">
        <v>5433650</v>
      </c>
      <c r="Q562" s="7">
        <v>12515761.84</v>
      </c>
      <c r="R562" s="7">
        <v>0</v>
      </c>
      <c r="S562" s="7">
        <v>296</v>
      </c>
      <c r="T562" s="7">
        <v>0</v>
      </c>
      <c r="U562" s="7">
        <v>0</v>
      </c>
      <c r="V562" s="9">
        <v>46189.853409826392</v>
      </c>
    </row>
    <row r="563" spans="1:22" x14ac:dyDescent="0.2">
      <c r="A563" s="8">
        <v>46005</v>
      </c>
      <c r="B563" s="7">
        <v>149</v>
      </c>
      <c r="C563" s="7">
        <v>2.2000000000000002</v>
      </c>
      <c r="D563" s="7">
        <v>115679.318</v>
      </c>
      <c r="E563" s="7">
        <v>-7</v>
      </c>
      <c r="F563" s="7">
        <v>17236218.52</v>
      </c>
      <c r="G563" s="7">
        <v>0</v>
      </c>
      <c r="H563" s="7">
        <v>-52941.17</v>
      </c>
      <c r="I563" s="7">
        <v>17183277.350000001</v>
      </c>
      <c r="J563" s="7">
        <v>182000</v>
      </c>
      <c r="K563" s="7">
        <v>0</v>
      </c>
      <c r="L563" s="7">
        <v>3209722.65</v>
      </c>
      <c r="M563" s="7">
        <v>20575000</v>
      </c>
      <c r="N563" s="7">
        <v>280252.08</v>
      </c>
      <c r="O563" s="7">
        <v>16903025.27</v>
      </c>
      <c r="P563" s="7">
        <v>4992943</v>
      </c>
      <c r="Q563" s="7">
        <v>11910082.27</v>
      </c>
      <c r="R563" s="7">
        <v>0</v>
      </c>
      <c r="S563" s="7">
        <v>322</v>
      </c>
      <c r="T563" s="7">
        <v>0</v>
      </c>
      <c r="U563" s="7">
        <v>0</v>
      </c>
      <c r="V563" s="9">
        <v>46189.853409826392</v>
      </c>
    </row>
    <row r="564" spans="1:22" x14ac:dyDescent="0.2">
      <c r="A564" s="8">
        <v>46006</v>
      </c>
      <c r="B564" s="7">
        <v>53</v>
      </c>
      <c r="C564" s="7">
        <v>2.8</v>
      </c>
      <c r="D564" s="7">
        <v>153705.88200000001</v>
      </c>
      <c r="E564" s="7">
        <v>-4</v>
      </c>
      <c r="F564" s="7">
        <v>8196831.9299999997</v>
      </c>
      <c r="G564" s="7">
        <v>-50420.14</v>
      </c>
      <c r="H564" s="7">
        <v>-30252.09</v>
      </c>
      <c r="I564" s="7">
        <v>8116159.7000000002</v>
      </c>
      <c r="J564" s="7">
        <v>77500</v>
      </c>
      <c r="K564" s="7">
        <v>0</v>
      </c>
      <c r="L564" s="7">
        <v>1510340.3</v>
      </c>
      <c r="M564" s="7">
        <v>9704000</v>
      </c>
      <c r="N564" s="7">
        <v>98159.67</v>
      </c>
      <c r="O564" s="7">
        <v>8018000.0300000003</v>
      </c>
      <c r="P564" s="7">
        <v>2429876</v>
      </c>
      <c r="Q564" s="7">
        <v>5588124.0300000003</v>
      </c>
      <c r="R564" s="7">
        <v>500000</v>
      </c>
      <c r="S564" s="7">
        <v>142</v>
      </c>
      <c r="T564" s="7">
        <v>0</v>
      </c>
      <c r="U564" s="7">
        <v>500000</v>
      </c>
      <c r="V564" s="9">
        <v>46189.853409826392</v>
      </c>
    </row>
    <row r="565" spans="1:22" x14ac:dyDescent="0.2">
      <c r="A565" s="8">
        <v>46007</v>
      </c>
      <c r="B565" s="7">
        <v>50</v>
      </c>
      <c r="C565" s="7">
        <v>2.5</v>
      </c>
      <c r="D565" s="7">
        <v>161950.42000000001</v>
      </c>
      <c r="E565" s="7">
        <v>-20</v>
      </c>
      <c r="F565" s="7">
        <v>8311806.7199999997</v>
      </c>
      <c r="G565" s="7">
        <v>0</v>
      </c>
      <c r="H565" s="7">
        <v>-509999.95</v>
      </c>
      <c r="I565" s="7">
        <v>7801806.7699999996</v>
      </c>
      <c r="J565" s="7">
        <v>546500</v>
      </c>
      <c r="K565" s="7">
        <v>0</v>
      </c>
      <c r="L565" s="7">
        <v>1255293.23</v>
      </c>
      <c r="M565" s="7">
        <v>9603600</v>
      </c>
      <c r="N565" s="7">
        <v>165210.13</v>
      </c>
      <c r="O565" s="7">
        <v>7636596.6399999997</v>
      </c>
      <c r="P565" s="7">
        <v>2285564</v>
      </c>
      <c r="Q565" s="7">
        <v>5351032.6399999997</v>
      </c>
      <c r="R565" s="7">
        <v>0</v>
      </c>
      <c r="S565" s="7">
        <v>110</v>
      </c>
      <c r="T565" s="7">
        <v>0</v>
      </c>
      <c r="U565" s="7">
        <v>0</v>
      </c>
      <c r="V565" s="9">
        <v>46189.853409826392</v>
      </c>
    </row>
    <row r="566" spans="1:22" x14ac:dyDescent="0.2">
      <c r="A566" s="8">
        <v>46008</v>
      </c>
      <c r="B566" s="7">
        <v>53</v>
      </c>
      <c r="C566" s="7">
        <v>3.1</v>
      </c>
      <c r="D566" s="7">
        <v>184430.94899999999</v>
      </c>
      <c r="E566" s="7">
        <v>-13</v>
      </c>
      <c r="F566" s="7">
        <v>10258293.970000001</v>
      </c>
      <c r="G566" s="7">
        <v>-157562.88</v>
      </c>
      <c r="H566" s="7">
        <v>-389756.27</v>
      </c>
      <c r="I566" s="7">
        <v>9710974.8200000003</v>
      </c>
      <c r="J566" s="7">
        <v>177000</v>
      </c>
      <c r="K566" s="7">
        <v>0</v>
      </c>
      <c r="L566" s="7">
        <v>1793025.18</v>
      </c>
      <c r="M566" s="7">
        <v>11681000</v>
      </c>
      <c r="N566" s="7">
        <v>502680.69</v>
      </c>
      <c r="O566" s="7">
        <v>9208294.1300000008</v>
      </c>
      <c r="P566" s="7">
        <v>2955718</v>
      </c>
      <c r="Q566" s="7">
        <v>6252576.1299999999</v>
      </c>
      <c r="R566" s="7">
        <v>500000</v>
      </c>
      <c r="S566" s="7">
        <v>153</v>
      </c>
      <c r="T566" s="7">
        <v>0</v>
      </c>
      <c r="U566" s="7">
        <v>500000</v>
      </c>
      <c r="V566" s="9">
        <v>46189.853409826392</v>
      </c>
    </row>
    <row r="567" spans="1:22" x14ac:dyDescent="0.2">
      <c r="A567" s="8">
        <v>46009</v>
      </c>
      <c r="B567" s="7">
        <v>42</v>
      </c>
      <c r="C567" s="7">
        <v>3</v>
      </c>
      <c r="D567" s="7">
        <v>194872.149</v>
      </c>
      <c r="E567" s="7">
        <v>-6</v>
      </c>
      <c r="F567" s="7">
        <v>8424126.0600000005</v>
      </c>
      <c r="G567" s="7">
        <v>0</v>
      </c>
      <c r="H567" s="7">
        <v>-351260.5</v>
      </c>
      <c r="I567" s="7">
        <v>8072865.5599999996</v>
      </c>
      <c r="J567" s="7">
        <v>36000</v>
      </c>
      <c r="K567" s="7">
        <v>0</v>
      </c>
      <c r="L567" s="7">
        <v>1475134.44</v>
      </c>
      <c r="M567" s="7">
        <v>9584000</v>
      </c>
      <c r="N567" s="7">
        <v>505882.34</v>
      </c>
      <c r="O567" s="7">
        <v>7566983.2199999997</v>
      </c>
      <c r="P567" s="7">
        <v>2167982</v>
      </c>
      <c r="Q567" s="7">
        <v>5399001.2199999997</v>
      </c>
      <c r="R567" s="7">
        <v>0</v>
      </c>
      <c r="S567" s="7">
        <v>123</v>
      </c>
      <c r="T567" s="7">
        <v>0</v>
      </c>
      <c r="U567" s="7">
        <v>0</v>
      </c>
      <c r="V567" s="9">
        <v>46189.853409826392</v>
      </c>
    </row>
    <row r="568" spans="1:22" x14ac:dyDescent="0.2">
      <c r="A568" s="8">
        <v>46010</v>
      </c>
      <c r="B568" s="7">
        <v>46</v>
      </c>
      <c r="C568" s="7">
        <v>2.6</v>
      </c>
      <c r="D568" s="7">
        <v>104725.06299999999</v>
      </c>
      <c r="E568" s="7">
        <v>0</v>
      </c>
      <c r="F568" s="7">
        <v>4871974.7699999996</v>
      </c>
      <c r="G568" s="7">
        <v>-54621.84</v>
      </c>
      <c r="H568" s="7">
        <v>0</v>
      </c>
      <c r="I568" s="7">
        <v>4817352.93</v>
      </c>
      <c r="J568" s="7">
        <v>12000</v>
      </c>
      <c r="K568" s="7">
        <v>0</v>
      </c>
      <c r="L568" s="7">
        <v>908647.07</v>
      </c>
      <c r="M568" s="7">
        <v>5738000</v>
      </c>
      <c r="N568" s="7">
        <v>354621.83</v>
      </c>
      <c r="O568" s="7">
        <v>4462731.0999999996</v>
      </c>
      <c r="P568" s="7">
        <v>1279913</v>
      </c>
      <c r="Q568" s="7">
        <v>3182818.1</v>
      </c>
      <c r="R568" s="7">
        <v>0</v>
      </c>
      <c r="S568" s="7">
        <v>121</v>
      </c>
      <c r="T568" s="7">
        <v>0</v>
      </c>
      <c r="U568" s="7">
        <v>0</v>
      </c>
      <c r="V568" s="9">
        <v>46189.853409826392</v>
      </c>
    </row>
    <row r="569" spans="1:22" x14ac:dyDescent="0.2">
      <c r="A569" s="8">
        <v>46011</v>
      </c>
      <c r="B569" s="7">
        <v>45</v>
      </c>
      <c r="C569" s="7">
        <v>3.6</v>
      </c>
      <c r="D569" s="7">
        <v>166595.70499999999</v>
      </c>
      <c r="E569" s="7">
        <v>0</v>
      </c>
      <c r="F569" s="7">
        <v>7572436.9800000004</v>
      </c>
      <c r="G569" s="7">
        <v>-75630.25</v>
      </c>
      <c r="H569" s="7">
        <v>0</v>
      </c>
      <c r="I569" s="7">
        <v>7496806.7300000004</v>
      </c>
      <c r="J569" s="7">
        <v>32000</v>
      </c>
      <c r="K569" s="7">
        <v>0</v>
      </c>
      <c r="L569" s="7">
        <v>1371193.27</v>
      </c>
      <c r="M569" s="7">
        <v>8900000</v>
      </c>
      <c r="N569" s="7">
        <v>644957.97</v>
      </c>
      <c r="O569" s="7">
        <v>6851848.7599999998</v>
      </c>
      <c r="P569" s="7">
        <v>2145496</v>
      </c>
      <c r="Q569" s="7">
        <v>4706352.76</v>
      </c>
      <c r="R569" s="7">
        <v>0</v>
      </c>
      <c r="S569" s="7">
        <v>161</v>
      </c>
      <c r="T569" s="7">
        <v>0</v>
      </c>
      <c r="U569" s="7">
        <v>0</v>
      </c>
      <c r="V569" s="9">
        <v>46189.853409826392</v>
      </c>
    </row>
    <row r="570" spans="1:22" x14ac:dyDescent="0.2">
      <c r="A570" s="8">
        <v>46012</v>
      </c>
      <c r="B570" s="7">
        <v>40</v>
      </c>
      <c r="C570" s="7">
        <v>3</v>
      </c>
      <c r="D570" s="7">
        <v>184746.008</v>
      </c>
      <c r="E570" s="7">
        <v>-3</v>
      </c>
      <c r="F570" s="7">
        <v>7568058.8399999999</v>
      </c>
      <c r="G570" s="7">
        <v>0</v>
      </c>
      <c r="H570" s="7">
        <v>-537815.12</v>
      </c>
      <c r="I570" s="7">
        <v>7030243.7199999997</v>
      </c>
      <c r="J570" s="7">
        <v>40000</v>
      </c>
      <c r="K570" s="7">
        <v>0</v>
      </c>
      <c r="L570" s="7">
        <v>1225356.28</v>
      </c>
      <c r="M570" s="7">
        <v>8295600</v>
      </c>
      <c r="N570" s="7">
        <v>429957.97</v>
      </c>
      <c r="O570" s="7">
        <v>6600285.75</v>
      </c>
      <c r="P570" s="7">
        <v>2143306</v>
      </c>
      <c r="Q570" s="7">
        <v>4456979.75</v>
      </c>
      <c r="R570" s="7">
        <v>0</v>
      </c>
      <c r="S570" s="7">
        <v>121</v>
      </c>
      <c r="T570" s="7">
        <v>0</v>
      </c>
      <c r="U570" s="7">
        <v>0</v>
      </c>
      <c r="V570" s="9">
        <v>46189.853409826392</v>
      </c>
    </row>
    <row r="571" spans="1:22" x14ac:dyDescent="0.2">
      <c r="A571" s="8">
        <v>46013</v>
      </c>
      <c r="B571" s="7">
        <v>55</v>
      </c>
      <c r="C571" s="7">
        <v>4.0999999999999996</v>
      </c>
      <c r="D571" s="7">
        <v>241772.95499999999</v>
      </c>
      <c r="E571" s="7">
        <v>-19</v>
      </c>
      <c r="F571" s="7">
        <v>15834865.48</v>
      </c>
      <c r="G571" s="7">
        <v>-1844067.22</v>
      </c>
      <c r="H571" s="7">
        <v>-888655.47</v>
      </c>
      <c r="I571" s="7">
        <v>13102142.789999999</v>
      </c>
      <c r="J571" s="7">
        <v>40000</v>
      </c>
      <c r="K571" s="7">
        <v>0</v>
      </c>
      <c r="L571" s="7">
        <v>2467367.21</v>
      </c>
      <c r="M571" s="7">
        <v>15609510</v>
      </c>
      <c r="N571" s="7">
        <v>260504.18</v>
      </c>
      <c r="O571" s="7">
        <v>12841638.609999999</v>
      </c>
      <c r="P571" s="7">
        <v>3822906</v>
      </c>
      <c r="Q571" s="7">
        <v>9018732.6099999994</v>
      </c>
      <c r="R571" s="7">
        <v>0</v>
      </c>
      <c r="S571" s="7">
        <v>222</v>
      </c>
      <c r="T571" s="7">
        <v>0</v>
      </c>
      <c r="U571" s="7">
        <v>0</v>
      </c>
      <c r="V571" s="9">
        <v>46189.853409826392</v>
      </c>
    </row>
    <row r="572" spans="1:22" x14ac:dyDescent="0.2">
      <c r="A572" s="8">
        <v>46014</v>
      </c>
      <c r="B572" s="7">
        <v>68</v>
      </c>
      <c r="C572" s="7">
        <v>2.5</v>
      </c>
      <c r="D572" s="7">
        <v>132153.484</v>
      </c>
      <c r="E572" s="7">
        <v>0</v>
      </c>
      <c r="F572" s="7">
        <v>8986436.9299999997</v>
      </c>
      <c r="G572" s="7">
        <v>0</v>
      </c>
      <c r="H572" s="7">
        <v>0</v>
      </c>
      <c r="I572" s="7">
        <v>8986436.9299999997</v>
      </c>
      <c r="J572" s="7">
        <v>56000</v>
      </c>
      <c r="K572" s="7">
        <v>0</v>
      </c>
      <c r="L572" s="7">
        <v>1670563.07</v>
      </c>
      <c r="M572" s="7">
        <v>10713000</v>
      </c>
      <c r="N572" s="7">
        <v>315756.3</v>
      </c>
      <c r="O572" s="7">
        <v>8670680.6300000008</v>
      </c>
      <c r="P572" s="7">
        <v>2849163</v>
      </c>
      <c r="Q572" s="7">
        <v>5821517.6299999999</v>
      </c>
      <c r="R572" s="7">
        <v>0</v>
      </c>
      <c r="S572" s="7">
        <v>173</v>
      </c>
      <c r="T572" s="7">
        <v>0</v>
      </c>
      <c r="U572" s="7">
        <v>0</v>
      </c>
      <c r="V572" s="9">
        <v>46189.853409826392</v>
      </c>
    </row>
    <row r="573" spans="1:22" x14ac:dyDescent="0.2">
      <c r="A573" s="8">
        <v>46015</v>
      </c>
      <c r="B573" s="7">
        <v>36</v>
      </c>
      <c r="C573" s="7">
        <v>2.2000000000000002</v>
      </c>
      <c r="D573" s="7">
        <v>117979.924</v>
      </c>
      <c r="E573" s="7">
        <v>0</v>
      </c>
      <c r="F573" s="7">
        <v>4247277.29</v>
      </c>
      <c r="G573" s="7">
        <v>0</v>
      </c>
      <c r="H573" s="7">
        <v>0</v>
      </c>
      <c r="I573" s="7">
        <v>4247277.29</v>
      </c>
      <c r="J573" s="7">
        <v>32000</v>
      </c>
      <c r="K573" s="7">
        <v>0</v>
      </c>
      <c r="L573" s="7">
        <v>796722.71</v>
      </c>
      <c r="M573" s="7">
        <v>5076000</v>
      </c>
      <c r="N573" s="7">
        <v>149798.32</v>
      </c>
      <c r="O573" s="7">
        <v>4097478.97</v>
      </c>
      <c r="P573" s="7">
        <v>1384703</v>
      </c>
      <c r="Q573" s="7">
        <v>2712775.97</v>
      </c>
      <c r="R573" s="7">
        <v>100000</v>
      </c>
      <c r="S573" s="7">
        <v>79</v>
      </c>
      <c r="T573" s="7">
        <v>0</v>
      </c>
      <c r="U573" s="7">
        <v>100000</v>
      </c>
      <c r="V573" s="9">
        <v>46189.853409826392</v>
      </c>
    </row>
    <row r="574" spans="1:22" x14ac:dyDescent="0.2">
      <c r="A574" s="8">
        <v>46016</v>
      </c>
      <c r="B574" s="7">
        <v>3</v>
      </c>
      <c r="C574" s="7">
        <v>1.7</v>
      </c>
      <c r="D574" s="7">
        <v>135854.34299999999</v>
      </c>
      <c r="E574" s="7">
        <v>0</v>
      </c>
      <c r="F574" s="7">
        <v>407563.03</v>
      </c>
      <c r="G574" s="7">
        <v>0</v>
      </c>
      <c r="H574" s="7">
        <v>0</v>
      </c>
      <c r="I574" s="7">
        <v>407563.03</v>
      </c>
      <c r="J574" s="7">
        <v>28000</v>
      </c>
      <c r="K574" s="7">
        <v>0</v>
      </c>
      <c r="L574" s="7">
        <v>77436.97</v>
      </c>
      <c r="M574" s="7">
        <v>513000</v>
      </c>
      <c r="N574" s="7">
        <v>0</v>
      </c>
      <c r="O574" s="7">
        <v>407563.03</v>
      </c>
      <c r="P574" s="7">
        <v>126794</v>
      </c>
      <c r="Q574" s="7">
        <v>280769.03000000003</v>
      </c>
      <c r="R574" s="7">
        <v>0</v>
      </c>
      <c r="S574" s="7">
        <v>5</v>
      </c>
      <c r="T574" s="7">
        <v>0</v>
      </c>
      <c r="U574" s="7">
        <v>0</v>
      </c>
      <c r="V574" s="9">
        <v>46189.853409826392</v>
      </c>
    </row>
    <row r="575" spans="1:22" x14ac:dyDescent="0.2">
      <c r="A575" s="8">
        <v>46017</v>
      </c>
      <c r="B575" s="7">
        <v>23</v>
      </c>
      <c r="C575" s="7">
        <v>5.2</v>
      </c>
      <c r="D575" s="7">
        <v>475648.52</v>
      </c>
      <c r="E575" s="7">
        <v>0</v>
      </c>
      <c r="F575" s="7">
        <v>10939915.98</v>
      </c>
      <c r="G575" s="7">
        <v>0</v>
      </c>
      <c r="H575" s="7">
        <v>0</v>
      </c>
      <c r="I575" s="7">
        <v>10939915.98</v>
      </c>
      <c r="J575" s="7">
        <v>44000</v>
      </c>
      <c r="K575" s="7">
        <v>0</v>
      </c>
      <c r="L575" s="7">
        <v>2078584.02</v>
      </c>
      <c r="M575" s="7">
        <v>13062500</v>
      </c>
      <c r="N575" s="7">
        <v>0</v>
      </c>
      <c r="O575" s="7">
        <v>10939915.98</v>
      </c>
      <c r="P575" s="7">
        <v>3123613</v>
      </c>
      <c r="Q575" s="7">
        <v>7816302.9800000004</v>
      </c>
      <c r="R575" s="7">
        <v>0</v>
      </c>
      <c r="S575" s="7">
        <v>120</v>
      </c>
      <c r="T575" s="7">
        <v>0</v>
      </c>
      <c r="U575" s="7">
        <v>0</v>
      </c>
      <c r="V575" s="9">
        <v>46189.853409826392</v>
      </c>
    </row>
    <row r="576" spans="1:22" x14ac:dyDescent="0.2">
      <c r="A576" s="8">
        <v>46018</v>
      </c>
      <c r="B576" s="7">
        <v>11</v>
      </c>
      <c r="C576" s="7">
        <v>2.2000000000000002</v>
      </c>
      <c r="D576" s="7">
        <v>145172.649</v>
      </c>
      <c r="E576" s="7">
        <v>0</v>
      </c>
      <c r="F576" s="7">
        <v>1596899.14</v>
      </c>
      <c r="G576" s="7">
        <v>0</v>
      </c>
      <c r="H576" s="7">
        <v>0</v>
      </c>
      <c r="I576" s="7">
        <v>1596899.14</v>
      </c>
      <c r="J576" s="7">
        <v>12000</v>
      </c>
      <c r="K576" s="7">
        <v>0</v>
      </c>
      <c r="L576" s="7">
        <v>294100.86</v>
      </c>
      <c r="M576" s="7">
        <v>1903000</v>
      </c>
      <c r="N576" s="7">
        <v>131932.76999999999</v>
      </c>
      <c r="O576" s="7">
        <v>1464966.37</v>
      </c>
      <c r="P576" s="7">
        <v>335784</v>
      </c>
      <c r="Q576" s="7">
        <v>1129182.3700000001</v>
      </c>
      <c r="R576" s="7">
        <v>0</v>
      </c>
      <c r="S576" s="7">
        <v>24</v>
      </c>
      <c r="T576" s="7">
        <v>0</v>
      </c>
      <c r="U576" s="7">
        <v>0</v>
      </c>
      <c r="V576" s="9">
        <v>46189.853409826392</v>
      </c>
    </row>
    <row r="577" spans="1:22" x14ac:dyDescent="0.2">
      <c r="A577" s="8">
        <v>46019</v>
      </c>
      <c r="B577" s="7">
        <v>5</v>
      </c>
      <c r="C577" s="7">
        <v>1.8</v>
      </c>
      <c r="D577" s="7">
        <v>113445.378</v>
      </c>
      <c r="E577" s="7">
        <v>0</v>
      </c>
      <c r="F577" s="7">
        <v>567226.89</v>
      </c>
      <c r="G577" s="7">
        <v>0</v>
      </c>
      <c r="H577" s="7">
        <v>0</v>
      </c>
      <c r="I577" s="7">
        <v>567226.89</v>
      </c>
      <c r="J577" s="7">
        <v>64000</v>
      </c>
      <c r="K577" s="7">
        <v>0</v>
      </c>
      <c r="L577" s="7">
        <v>107773.11</v>
      </c>
      <c r="M577" s="7">
        <v>739000</v>
      </c>
      <c r="N577" s="7">
        <v>0</v>
      </c>
      <c r="O577" s="7">
        <v>567226.89</v>
      </c>
      <c r="P577" s="7">
        <v>207069</v>
      </c>
      <c r="Q577" s="7">
        <v>360157.89</v>
      </c>
      <c r="R577" s="7">
        <v>0</v>
      </c>
      <c r="S577" s="7">
        <v>9</v>
      </c>
      <c r="T577" s="7">
        <v>0</v>
      </c>
      <c r="U577" s="7">
        <v>0</v>
      </c>
      <c r="V577" s="9">
        <v>46189.853409826392</v>
      </c>
    </row>
    <row r="578" spans="1:22" x14ac:dyDescent="0.2">
      <c r="A578" s="8">
        <v>46020</v>
      </c>
      <c r="B578" s="7">
        <v>14</v>
      </c>
      <c r="C578" s="7">
        <v>4.5999999999999996</v>
      </c>
      <c r="D578" s="7">
        <v>238019.20699999999</v>
      </c>
      <c r="E578" s="7">
        <v>0</v>
      </c>
      <c r="F578" s="7">
        <v>3510252.08</v>
      </c>
      <c r="G578" s="7">
        <v>-177983.18</v>
      </c>
      <c r="H578" s="7">
        <v>0</v>
      </c>
      <c r="I578" s="7">
        <v>3332268.9</v>
      </c>
      <c r="J578" s="7">
        <v>219000</v>
      </c>
      <c r="K578" s="7">
        <v>0</v>
      </c>
      <c r="L578" s="7">
        <v>515331.1</v>
      </c>
      <c r="M578" s="7">
        <v>4066600</v>
      </c>
      <c r="N578" s="7">
        <v>0</v>
      </c>
      <c r="O578" s="7">
        <v>3332268.9</v>
      </c>
      <c r="P578" s="7">
        <v>1006515</v>
      </c>
      <c r="Q578" s="7">
        <v>2325753.9</v>
      </c>
      <c r="R578" s="7">
        <v>0</v>
      </c>
      <c r="S578" s="7">
        <v>65</v>
      </c>
      <c r="T578" s="7">
        <v>0</v>
      </c>
      <c r="U578" s="7">
        <v>0</v>
      </c>
      <c r="V578" s="9">
        <v>46189.853409826392</v>
      </c>
    </row>
    <row r="579" spans="1:22" x14ac:dyDescent="0.2">
      <c r="A579" s="8">
        <v>46021</v>
      </c>
      <c r="B579" s="7">
        <v>15</v>
      </c>
      <c r="C579" s="7">
        <v>8</v>
      </c>
      <c r="D579" s="7">
        <v>550372.55000000005</v>
      </c>
      <c r="E579" s="7">
        <v>0</v>
      </c>
      <c r="F579" s="7">
        <v>8255588.25</v>
      </c>
      <c r="G579" s="7">
        <v>0</v>
      </c>
      <c r="H579" s="7">
        <v>0</v>
      </c>
      <c r="I579" s="7">
        <v>8255588.25</v>
      </c>
      <c r="J579" s="7">
        <v>52000</v>
      </c>
      <c r="K579" s="7">
        <v>0</v>
      </c>
      <c r="L579" s="7">
        <v>1552411.75</v>
      </c>
      <c r="M579" s="7">
        <v>9860000</v>
      </c>
      <c r="N579" s="7">
        <v>0</v>
      </c>
      <c r="O579" s="7">
        <v>8255588.25</v>
      </c>
      <c r="P579" s="7">
        <v>2186285</v>
      </c>
      <c r="Q579" s="7">
        <v>6069303.25</v>
      </c>
      <c r="R579" s="7">
        <v>0</v>
      </c>
      <c r="S579" s="7">
        <v>120</v>
      </c>
      <c r="T579" s="7">
        <v>0</v>
      </c>
      <c r="U579" s="7">
        <v>0</v>
      </c>
      <c r="V579" s="9">
        <v>46189.853409826392</v>
      </c>
    </row>
    <row r="580" spans="1:22" x14ac:dyDescent="0.2">
      <c r="A580" s="8">
        <v>46022</v>
      </c>
      <c r="B580" s="7">
        <v>11</v>
      </c>
      <c r="C580" s="7">
        <v>56.3</v>
      </c>
      <c r="D580" s="7">
        <v>1899533.9950000001</v>
      </c>
      <c r="E580" s="7">
        <v>0</v>
      </c>
      <c r="F580" s="7">
        <v>24317562.940000001</v>
      </c>
      <c r="G580" s="7">
        <v>-3422688.99</v>
      </c>
      <c r="H580" s="7">
        <v>0</v>
      </c>
      <c r="I580" s="7">
        <v>20894873.949999999</v>
      </c>
      <c r="J580" s="7">
        <v>40000</v>
      </c>
      <c r="K580" s="7">
        <v>0</v>
      </c>
      <c r="L580" s="7">
        <v>3970026.05</v>
      </c>
      <c r="M580" s="7">
        <v>24904900</v>
      </c>
      <c r="N580" s="7">
        <v>3681839.14</v>
      </c>
      <c r="O580" s="7">
        <v>17213034.809999999</v>
      </c>
      <c r="P580" s="7">
        <v>5783740</v>
      </c>
      <c r="Q580" s="7">
        <v>11429294.810000001</v>
      </c>
      <c r="R580" s="7">
        <v>0</v>
      </c>
      <c r="S580" s="7">
        <v>619</v>
      </c>
      <c r="T580" s="7">
        <v>0</v>
      </c>
      <c r="U580" s="7">
        <v>0</v>
      </c>
      <c r="V580" s="9">
        <v>46189.853409826392</v>
      </c>
    </row>
    <row r="581" spans="1:22" x14ac:dyDescent="0.2">
      <c r="A581" s="8">
        <v>46023</v>
      </c>
      <c r="B581" s="7">
        <v>1</v>
      </c>
      <c r="C581" s="7">
        <v>1</v>
      </c>
      <c r="D581" s="7">
        <v>100840.34</v>
      </c>
      <c r="E581" s="7">
        <v>0</v>
      </c>
      <c r="F581" s="7">
        <v>100840.34</v>
      </c>
      <c r="G581" s="7">
        <v>0</v>
      </c>
      <c r="H581" s="7">
        <v>0</v>
      </c>
      <c r="I581" s="7">
        <v>100840.34</v>
      </c>
      <c r="J581" s="7">
        <v>12000</v>
      </c>
      <c r="K581" s="7">
        <v>0</v>
      </c>
      <c r="L581" s="7">
        <v>19159.66</v>
      </c>
      <c r="M581" s="7">
        <v>132000</v>
      </c>
      <c r="N581" s="7">
        <v>0</v>
      </c>
      <c r="O581" s="7">
        <v>100840.34</v>
      </c>
      <c r="P581" s="7">
        <v>41720</v>
      </c>
      <c r="Q581" s="7">
        <v>59120.34</v>
      </c>
      <c r="R581" s="7">
        <v>0</v>
      </c>
      <c r="S581" s="7">
        <v>1</v>
      </c>
      <c r="T581" s="7">
        <v>0</v>
      </c>
      <c r="U581" s="7">
        <v>0</v>
      </c>
      <c r="V581" s="9">
        <v>46189.853409826392</v>
      </c>
    </row>
    <row r="582" spans="1:22" x14ac:dyDescent="0.2">
      <c r="A582" s="8">
        <v>46024</v>
      </c>
      <c r="B582" s="7">
        <v>3</v>
      </c>
      <c r="C582" s="7">
        <v>1.3</v>
      </c>
      <c r="D582" s="7">
        <v>154061.62599999999</v>
      </c>
      <c r="E582" s="7">
        <v>0</v>
      </c>
      <c r="F582" s="7">
        <v>462184.88</v>
      </c>
      <c r="G582" s="7">
        <v>0</v>
      </c>
      <c r="H582" s="7">
        <v>0</v>
      </c>
      <c r="I582" s="7">
        <v>462184.88</v>
      </c>
      <c r="J582" s="7">
        <v>28000</v>
      </c>
      <c r="K582" s="7">
        <v>0</v>
      </c>
      <c r="L582" s="7">
        <v>87815.12</v>
      </c>
      <c r="M582" s="7">
        <v>578000</v>
      </c>
      <c r="N582" s="7">
        <v>0</v>
      </c>
      <c r="O582" s="7">
        <v>462184.88</v>
      </c>
      <c r="P582" s="7">
        <v>134383</v>
      </c>
      <c r="Q582" s="7">
        <v>327801.88</v>
      </c>
      <c r="R582" s="7">
        <v>0</v>
      </c>
      <c r="S582" s="7">
        <v>4</v>
      </c>
      <c r="T582" s="7">
        <v>0</v>
      </c>
      <c r="U582" s="7">
        <v>0</v>
      </c>
      <c r="V582" s="9">
        <v>46189.853409826392</v>
      </c>
    </row>
    <row r="583" spans="1:22" x14ac:dyDescent="0.2">
      <c r="A583" s="8">
        <v>46025</v>
      </c>
      <c r="B583" s="7">
        <v>6</v>
      </c>
      <c r="C583" s="7">
        <v>1.5</v>
      </c>
      <c r="D583" s="7">
        <v>106162.466</v>
      </c>
      <c r="E583" s="7">
        <v>0</v>
      </c>
      <c r="F583" s="7">
        <v>636974.80000000005</v>
      </c>
      <c r="G583" s="7">
        <v>0</v>
      </c>
      <c r="H583" s="7">
        <v>0</v>
      </c>
      <c r="I583" s="7">
        <v>636974.80000000005</v>
      </c>
      <c r="J583" s="7">
        <v>72000</v>
      </c>
      <c r="K583" s="7">
        <v>0</v>
      </c>
      <c r="L583" s="7">
        <v>121025.2</v>
      </c>
      <c r="M583" s="7">
        <v>830000</v>
      </c>
      <c r="N583" s="7">
        <v>0</v>
      </c>
      <c r="O583" s="7">
        <v>636974.80000000005</v>
      </c>
      <c r="P583" s="7">
        <v>216998</v>
      </c>
      <c r="Q583" s="7">
        <v>419976.8</v>
      </c>
      <c r="R583" s="7">
        <v>0</v>
      </c>
      <c r="S583" s="7">
        <v>9</v>
      </c>
      <c r="T583" s="7">
        <v>0</v>
      </c>
      <c r="U583" s="7">
        <v>0</v>
      </c>
      <c r="V583" s="9">
        <v>46189.853409826392</v>
      </c>
    </row>
    <row r="584" spans="1:22" x14ac:dyDescent="0.2">
      <c r="A584" s="8">
        <v>46026</v>
      </c>
      <c r="B584" s="7">
        <v>3</v>
      </c>
      <c r="C584" s="7">
        <v>1</v>
      </c>
      <c r="D584" s="7">
        <v>114845.94</v>
      </c>
      <c r="E584" s="7">
        <v>0</v>
      </c>
      <c r="F584" s="7">
        <v>344537.82</v>
      </c>
      <c r="G584" s="7">
        <v>0</v>
      </c>
      <c r="H584" s="7">
        <v>0</v>
      </c>
      <c r="I584" s="7">
        <v>344537.82</v>
      </c>
      <c r="J584" s="7">
        <v>44000</v>
      </c>
      <c r="K584" s="7">
        <v>0</v>
      </c>
      <c r="L584" s="7">
        <v>65462.18</v>
      </c>
      <c r="M584" s="7">
        <v>454000</v>
      </c>
      <c r="N584" s="7">
        <v>0</v>
      </c>
      <c r="O584" s="7">
        <v>344537.82</v>
      </c>
      <c r="P584" s="7">
        <v>136786</v>
      </c>
      <c r="Q584" s="7">
        <v>207751.82</v>
      </c>
      <c r="R584" s="7">
        <v>0</v>
      </c>
      <c r="S584" s="7">
        <v>3</v>
      </c>
      <c r="T584" s="7">
        <v>0</v>
      </c>
      <c r="U584" s="7">
        <v>0</v>
      </c>
      <c r="V584" s="9">
        <v>46189.853409826392</v>
      </c>
    </row>
    <row r="585" spans="1:22" x14ac:dyDescent="0.2">
      <c r="A585" s="8">
        <v>46027</v>
      </c>
      <c r="B585" s="7">
        <v>13</v>
      </c>
      <c r="C585" s="7">
        <v>2.1</v>
      </c>
      <c r="D585" s="7">
        <v>138170.65299999999</v>
      </c>
      <c r="E585" s="7">
        <v>0</v>
      </c>
      <c r="F585" s="7">
        <v>1796218.5</v>
      </c>
      <c r="G585" s="7">
        <v>0</v>
      </c>
      <c r="H585" s="7">
        <v>0</v>
      </c>
      <c r="I585" s="7">
        <v>1796218.5</v>
      </c>
      <c r="J585" s="7">
        <v>40000</v>
      </c>
      <c r="K585" s="7">
        <v>0</v>
      </c>
      <c r="L585" s="7">
        <v>341281.5</v>
      </c>
      <c r="M585" s="7">
        <v>2177500</v>
      </c>
      <c r="N585" s="7">
        <v>0</v>
      </c>
      <c r="O585" s="7">
        <v>1796218.5</v>
      </c>
      <c r="P585" s="7">
        <v>626672</v>
      </c>
      <c r="Q585" s="7">
        <v>1169546.5</v>
      </c>
      <c r="R585" s="7">
        <v>0</v>
      </c>
      <c r="S585" s="7">
        <v>27</v>
      </c>
      <c r="T585" s="7">
        <v>0</v>
      </c>
      <c r="U585" s="7">
        <v>0</v>
      </c>
      <c r="V585" s="9">
        <v>46189.853409826392</v>
      </c>
    </row>
    <row r="586" spans="1:22" x14ac:dyDescent="0.2">
      <c r="A586" s="8">
        <v>46028</v>
      </c>
      <c r="B586" s="7">
        <v>11</v>
      </c>
      <c r="C586" s="7">
        <v>2.4</v>
      </c>
      <c r="D586" s="7">
        <v>122192.514</v>
      </c>
      <c r="E586" s="7">
        <v>0</v>
      </c>
      <c r="F586" s="7">
        <v>1344117.66</v>
      </c>
      <c r="G586" s="7">
        <v>0</v>
      </c>
      <c r="H586" s="7">
        <v>0</v>
      </c>
      <c r="I586" s="7">
        <v>1344117.66</v>
      </c>
      <c r="J586" s="7">
        <v>52000</v>
      </c>
      <c r="K586" s="7">
        <v>0</v>
      </c>
      <c r="L586" s="7">
        <v>255382.34</v>
      </c>
      <c r="M586" s="7">
        <v>1651500</v>
      </c>
      <c r="N586" s="7">
        <v>29411.759999999998</v>
      </c>
      <c r="O586" s="7">
        <v>1314705.8999999999</v>
      </c>
      <c r="P586" s="7">
        <v>408448</v>
      </c>
      <c r="Q586" s="7">
        <v>906257.9</v>
      </c>
      <c r="R586" s="7">
        <v>0</v>
      </c>
      <c r="S586" s="7">
        <v>26</v>
      </c>
      <c r="T586" s="7">
        <v>0</v>
      </c>
      <c r="U586" s="7">
        <v>0</v>
      </c>
      <c r="V586" s="9">
        <v>46189.853409826392</v>
      </c>
    </row>
    <row r="587" spans="1:22" x14ac:dyDescent="0.2">
      <c r="A587" s="8">
        <v>46029</v>
      </c>
      <c r="B587" s="7">
        <v>21</v>
      </c>
      <c r="C587" s="7">
        <v>2.8</v>
      </c>
      <c r="D587" s="7">
        <v>173829.533</v>
      </c>
      <c r="E587" s="7">
        <v>-2</v>
      </c>
      <c r="F587" s="7">
        <v>3709243.73</v>
      </c>
      <c r="G587" s="7">
        <v>0</v>
      </c>
      <c r="H587" s="7">
        <v>-285714.28999999998</v>
      </c>
      <c r="I587" s="7">
        <v>3423529.44</v>
      </c>
      <c r="J587" s="7">
        <v>60000</v>
      </c>
      <c r="K587" s="7">
        <v>0</v>
      </c>
      <c r="L587" s="7">
        <v>650470.56000000006</v>
      </c>
      <c r="M587" s="7">
        <v>4134000</v>
      </c>
      <c r="N587" s="7">
        <v>274789.92</v>
      </c>
      <c r="O587" s="7">
        <v>3148739.52</v>
      </c>
      <c r="P587" s="7">
        <v>997028</v>
      </c>
      <c r="Q587" s="7">
        <v>2151711.52</v>
      </c>
      <c r="R587" s="7">
        <v>0</v>
      </c>
      <c r="S587" s="7">
        <v>57</v>
      </c>
      <c r="T587" s="7">
        <v>0</v>
      </c>
      <c r="U587" s="7">
        <v>0</v>
      </c>
      <c r="V587" s="9">
        <v>46189.853409826392</v>
      </c>
    </row>
    <row r="588" spans="1:22" x14ac:dyDescent="0.2">
      <c r="A588" s="8">
        <v>46030</v>
      </c>
      <c r="B588" s="7">
        <v>24</v>
      </c>
      <c r="C588" s="7">
        <v>2.6</v>
      </c>
      <c r="D588" s="7">
        <v>134786.41500000001</v>
      </c>
      <c r="E588" s="7">
        <v>-1</v>
      </c>
      <c r="F588" s="7">
        <v>3234873.97</v>
      </c>
      <c r="G588" s="7">
        <v>0</v>
      </c>
      <c r="H588" s="7">
        <v>-46218.49</v>
      </c>
      <c r="I588" s="7">
        <v>3188655.48</v>
      </c>
      <c r="J588" s="7">
        <v>116000</v>
      </c>
      <c r="K588" s="7">
        <v>0</v>
      </c>
      <c r="L588" s="7">
        <v>605844.52</v>
      </c>
      <c r="M588" s="7">
        <v>3910500</v>
      </c>
      <c r="N588" s="7">
        <v>201680.66</v>
      </c>
      <c r="O588" s="7">
        <v>2986974.82</v>
      </c>
      <c r="P588" s="7">
        <v>789475</v>
      </c>
      <c r="Q588" s="7">
        <v>2197499.8199999998</v>
      </c>
      <c r="R588" s="7">
        <v>0</v>
      </c>
      <c r="S588" s="7">
        <v>61</v>
      </c>
      <c r="T588" s="7">
        <v>0</v>
      </c>
      <c r="U588" s="7">
        <v>0</v>
      </c>
      <c r="V588" s="9">
        <v>46189.853409826392</v>
      </c>
    </row>
    <row r="589" spans="1:22" x14ac:dyDescent="0.2">
      <c r="A589" s="8">
        <v>46031</v>
      </c>
      <c r="B589" s="7">
        <v>15</v>
      </c>
      <c r="C589" s="7">
        <v>2.9</v>
      </c>
      <c r="D589" s="7">
        <v>140593.83600000001</v>
      </c>
      <c r="E589" s="7">
        <v>0</v>
      </c>
      <c r="F589" s="7">
        <v>2136134.4300000002</v>
      </c>
      <c r="G589" s="7">
        <v>-27226.89</v>
      </c>
      <c r="H589" s="7">
        <v>0</v>
      </c>
      <c r="I589" s="7">
        <v>2108907.54</v>
      </c>
      <c r="J589" s="7">
        <v>56000</v>
      </c>
      <c r="K589" s="7">
        <v>0</v>
      </c>
      <c r="L589" s="7">
        <v>400692.46</v>
      </c>
      <c r="M589" s="7">
        <v>2565600</v>
      </c>
      <c r="N589" s="7">
        <v>29411.759999999998</v>
      </c>
      <c r="O589" s="7">
        <v>2079495.78</v>
      </c>
      <c r="P589" s="7">
        <v>673404</v>
      </c>
      <c r="Q589" s="7">
        <v>1406091.78</v>
      </c>
      <c r="R589" s="7">
        <v>0</v>
      </c>
      <c r="S589" s="7">
        <v>43</v>
      </c>
      <c r="T589" s="7">
        <v>0</v>
      </c>
      <c r="U589" s="7">
        <v>0</v>
      </c>
      <c r="V589" s="9">
        <v>46189.853409826392</v>
      </c>
    </row>
    <row r="590" spans="1:22" x14ac:dyDescent="0.2">
      <c r="A590" s="8">
        <v>46032</v>
      </c>
      <c r="B590" s="7">
        <v>16</v>
      </c>
      <c r="C590" s="7">
        <v>3.9</v>
      </c>
      <c r="D590" s="7">
        <v>629385.50399999996</v>
      </c>
      <c r="E590" s="7">
        <v>-29</v>
      </c>
      <c r="F590" s="7">
        <v>10314621.85</v>
      </c>
      <c r="G590" s="7">
        <v>-143613.44</v>
      </c>
      <c r="H590" s="7">
        <v>-8012605.04</v>
      </c>
      <c r="I590" s="7">
        <v>2158403.37</v>
      </c>
      <c r="J590" s="7">
        <v>121000</v>
      </c>
      <c r="K590" s="7">
        <v>0</v>
      </c>
      <c r="L590" s="7">
        <v>410096.63</v>
      </c>
      <c r="M590" s="7">
        <v>2689500</v>
      </c>
      <c r="N590" s="7">
        <v>58823.519999999997</v>
      </c>
      <c r="O590" s="7">
        <v>2099579.85</v>
      </c>
      <c r="P590" s="7">
        <v>667083</v>
      </c>
      <c r="Q590" s="7">
        <v>1432496.85</v>
      </c>
      <c r="R590" s="7">
        <v>0</v>
      </c>
      <c r="S590" s="7">
        <v>34</v>
      </c>
      <c r="T590" s="7">
        <v>0</v>
      </c>
      <c r="U590" s="7">
        <v>0</v>
      </c>
      <c r="V590" s="9">
        <v>46189.853409826392</v>
      </c>
    </row>
    <row r="591" spans="1:22" x14ac:dyDescent="0.2">
      <c r="A591" s="8">
        <v>46033</v>
      </c>
      <c r="B591" s="7">
        <v>4</v>
      </c>
      <c r="C591" s="7">
        <v>2.2000000000000002</v>
      </c>
      <c r="D591" s="7">
        <v>81827.732000000004</v>
      </c>
      <c r="E591" s="7">
        <v>0</v>
      </c>
      <c r="F591" s="7">
        <v>327310.93</v>
      </c>
      <c r="G591" s="7">
        <v>0</v>
      </c>
      <c r="H591" s="7">
        <v>0</v>
      </c>
      <c r="I591" s="7">
        <v>327310.93</v>
      </c>
      <c r="J591" s="7">
        <v>16000</v>
      </c>
      <c r="K591" s="7">
        <v>0</v>
      </c>
      <c r="L591" s="7">
        <v>62189.07</v>
      </c>
      <c r="M591" s="7">
        <v>405500</v>
      </c>
      <c r="N591" s="7">
        <v>29411.77</v>
      </c>
      <c r="O591" s="7">
        <v>297899.15999999997</v>
      </c>
      <c r="P591" s="7">
        <v>98269</v>
      </c>
      <c r="Q591" s="7">
        <v>199630.16</v>
      </c>
      <c r="R591" s="7">
        <v>0</v>
      </c>
      <c r="S591" s="7">
        <v>9</v>
      </c>
      <c r="T591" s="7">
        <v>0</v>
      </c>
      <c r="U591" s="7">
        <v>0</v>
      </c>
      <c r="V591" s="9">
        <v>46189.853409826392</v>
      </c>
    </row>
    <row r="592" spans="1:22" x14ac:dyDescent="0.2">
      <c r="A592" s="8">
        <v>46034</v>
      </c>
      <c r="B592" s="7">
        <v>3</v>
      </c>
      <c r="C592" s="7">
        <v>1.3</v>
      </c>
      <c r="D592" s="7">
        <v>121848.74</v>
      </c>
      <c r="E592" s="7">
        <v>0</v>
      </c>
      <c r="F592" s="7">
        <v>365546.22</v>
      </c>
      <c r="G592" s="7">
        <v>0</v>
      </c>
      <c r="H592" s="7">
        <v>0</v>
      </c>
      <c r="I592" s="7">
        <v>365546.22</v>
      </c>
      <c r="J592" s="7">
        <v>16000</v>
      </c>
      <c r="K592" s="7">
        <v>0</v>
      </c>
      <c r="L592" s="7">
        <v>69453.78</v>
      </c>
      <c r="M592" s="7">
        <v>451000</v>
      </c>
      <c r="N592" s="7">
        <v>0</v>
      </c>
      <c r="O592" s="7">
        <v>365546.22</v>
      </c>
      <c r="P592" s="7">
        <v>59952</v>
      </c>
      <c r="Q592" s="7">
        <v>305594.21999999997</v>
      </c>
      <c r="R592" s="7">
        <v>0</v>
      </c>
      <c r="S592" s="7">
        <v>4</v>
      </c>
      <c r="T592" s="7">
        <v>0</v>
      </c>
      <c r="U592" s="7">
        <v>0</v>
      </c>
      <c r="V592" s="9">
        <v>46189.853409826392</v>
      </c>
    </row>
    <row r="593" spans="1:22" x14ac:dyDescent="0.2">
      <c r="A593" s="8">
        <v>46035</v>
      </c>
      <c r="B593" s="7">
        <v>18</v>
      </c>
      <c r="C593" s="7">
        <v>2.2999999999999998</v>
      </c>
      <c r="D593" s="7">
        <v>142180.204</v>
      </c>
      <c r="E593" s="7">
        <v>0</v>
      </c>
      <c r="F593" s="7">
        <v>2628151.2400000002</v>
      </c>
      <c r="G593" s="7">
        <v>-68907.56</v>
      </c>
      <c r="H593" s="7">
        <v>0</v>
      </c>
      <c r="I593" s="7">
        <v>2559243.6800000002</v>
      </c>
      <c r="J593" s="7">
        <v>24000</v>
      </c>
      <c r="K593" s="7">
        <v>0</v>
      </c>
      <c r="L593" s="7">
        <v>486256.32</v>
      </c>
      <c r="M593" s="7">
        <v>3069500</v>
      </c>
      <c r="N593" s="7">
        <v>120168.05</v>
      </c>
      <c r="O593" s="7">
        <v>2439075.63</v>
      </c>
      <c r="P593" s="7">
        <v>612162</v>
      </c>
      <c r="Q593" s="7">
        <v>1826913.63</v>
      </c>
      <c r="R593" s="7">
        <v>0</v>
      </c>
      <c r="S593" s="7">
        <v>41</v>
      </c>
      <c r="T593" s="7">
        <v>0</v>
      </c>
      <c r="U593" s="7">
        <v>0</v>
      </c>
      <c r="V593" s="9">
        <v>46189.853409826392</v>
      </c>
    </row>
    <row r="594" spans="1:22" x14ac:dyDescent="0.2">
      <c r="A594" s="8">
        <v>46036</v>
      </c>
      <c r="B594" s="7">
        <v>21</v>
      </c>
      <c r="C594" s="7">
        <v>3</v>
      </c>
      <c r="D594" s="7">
        <v>232277.31</v>
      </c>
      <c r="E594" s="7">
        <v>0</v>
      </c>
      <c r="F594" s="7">
        <v>4933285.6900000004</v>
      </c>
      <c r="G594" s="7">
        <v>-55462.17</v>
      </c>
      <c r="H594" s="7">
        <v>0</v>
      </c>
      <c r="I594" s="7">
        <v>4877823.5199999996</v>
      </c>
      <c r="J594" s="7">
        <v>60000</v>
      </c>
      <c r="K594" s="7">
        <v>0</v>
      </c>
      <c r="L594" s="7">
        <v>894676.47999999998</v>
      </c>
      <c r="M594" s="7">
        <v>5832500</v>
      </c>
      <c r="N594" s="7">
        <v>768907.56</v>
      </c>
      <c r="O594" s="7">
        <v>4108915.96</v>
      </c>
      <c r="P594" s="7">
        <v>1144323</v>
      </c>
      <c r="Q594" s="7">
        <v>2964592.96</v>
      </c>
      <c r="R594" s="7">
        <v>0</v>
      </c>
      <c r="S594" s="7">
        <v>64</v>
      </c>
      <c r="T594" s="7">
        <v>0</v>
      </c>
      <c r="U594" s="7">
        <v>0</v>
      </c>
      <c r="V594" s="9">
        <v>46189.853409826392</v>
      </c>
    </row>
    <row r="595" spans="1:22" x14ac:dyDescent="0.2">
      <c r="A595" s="8">
        <v>46037</v>
      </c>
      <c r="B595" s="7">
        <v>20</v>
      </c>
      <c r="C595" s="7">
        <v>1.7</v>
      </c>
      <c r="D595" s="7">
        <v>74647.899000000005</v>
      </c>
      <c r="E595" s="7">
        <v>0</v>
      </c>
      <c r="F595" s="7">
        <v>1492957.98</v>
      </c>
      <c r="G595" s="7">
        <v>0</v>
      </c>
      <c r="H595" s="7">
        <v>0</v>
      </c>
      <c r="I595" s="7">
        <v>1492957.98</v>
      </c>
      <c r="J595" s="7">
        <v>0</v>
      </c>
      <c r="K595" s="7">
        <v>0</v>
      </c>
      <c r="L595" s="7">
        <v>246042.02</v>
      </c>
      <c r="M595" s="7">
        <v>1739000</v>
      </c>
      <c r="N595" s="7">
        <v>403882.35</v>
      </c>
      <c r="O595" s="7">
        <v>1089075.6299999999</v>
      </c>
      <c r="P595" s="7">
        <v>268453</v>
      </c>
      <c r="Q595" s="7">
        <v>820622.63</v>
      </c>
      <c r="R595" s="7">
        <v>0</v>
      </c>
      <c r="S595" s="7">
        <v>34</v>
      </c>
      <c r="T595" s="7">
        <v>0</v>
      </c>
      <c r="U595" s="7">
        <v>0</v>
      </c>
      <c r="V595" s="9">
        <v>46189.853409826392</v>
      </c>
    </row>
    <row r="596" spans="1:22" x14ac:dyDescent="0.2">
      <c r="A596" s="8">
        <v>46038</v>
      </c>
      <c r="B596" s="7">
        <v>16</v>
      </c>
      <c r="C596" s="7">
        <v>2.2000000000000002</v>
      </c>
      <c r="D596" s="7">
        <v>128781.512</v>
      </c>
      <c r="E596" s="7">
        <v>0</v>
      </c>
      <c r="F596" s="7">
        <v>2060504.2</v>
      </c>
      <c r="G596" s="7">
        <v>0</v>
      </c>
      <c r="H596" s="7">
        <v>0</v>
      </c>
      <c r="I596" s="7">
        <v>2060504.2</v>
      </c>
      <c r="J596" s="7">
        <v>68000</v>
      </c>
      <c r="K596" s="7">
        <v>0</v>
      </c>
      <c r="L596" s="7">
        <v>391495.8</v>
      </c>
      <c r="M596" s="7">
        <v>2520000</v>
      </c>
      <c r="N596" s="7">
        <v>151260.49</v>
      </c>
      <c r="O596" s="7">
        <v>1909243.71</v>
      </c>
      <c r="P596" s="7">
        <v>579609</v>
      </c>
      <c r="Q596" s="7">
        <v>1329634.71</v>
      </c>
      <c r="R596" s="7">
        <v>0</v>
      </c>
      <c r="S596" s="7">
        <v>35</v>
      </c>
      <c r="T596" s="7">
        <v>0</v>
      </c>
      <c r="U596" s="7">
        <v>0</v>
      </c>
      <c r="V596" s="9">
        <v>46189.853409826392</v>
      </c>
    </row>
    <row r="597" spans="1:22" x14ac:dyDescent="0.2">
      <c r="A597" s="8">
        <v>46039</v>
      </c>
      <c r="B597" s="7">
        <v>28</v>
      </c>
      <c r="C597" s="7">
        <v>2.4</v>
      </c>
      <c r="D597" s="7">
        <v>163383.853</v>
      </c>
      <c r="E597" s="7">
        <v>0</v>
      </c>
      <c r="F597" s="7">
        <v>4581470.57</v>
      </c>
      <c r="G597" s="7">
        <v>-6722.68</v>
      </c>
      <c r="H597" s="7">
        <v>0</v>
      </c>
      <c r="I597" s="7">
        <v>4574747.8899999997</v>
      </c>
      <c r="J597" s="7">
        <v>52000</v>
      </c>
      <c r="K597" s="7">
        <v>0</v>
      </c>
      <c r="L597" s="7">
        <v>858752.11</v>
      </c>
      <c r="M597" s="7">
        <v>5485500</v>
      </c>
      <c r="N597" s="7">
        <v>318523.15000000002</v>
      </c>
      <c r="O597" s="7">
        <v>4256224.74</v>
      </c>
      <c r="P597" s="7">
        <v>1272755</v>
      </c>
      <c r="Q597" s="7">
        <v>2983469.74</v>
      </c>
      <c r="R597" s="7">
        <v>0</v>
      </c>
      <c r="S597" s="7">
        <v>67</v>
      </c>
      <c r="T597" s="7">
        <v>0</v>
      </c>
      <c r="U597" s="7">
        <v>0</v>
      </c>
      <c r="V597" s="9">
        <v>46189.853409826392</v>
      </c>
    </row>
    <row r="598" spans="1:22" x14ac:dyDescent="0.2">
      <c r="A598" s="8">
        <v>46040</v>
      </c>
      <c r="B598" s="7">
        <v>10</v>
      </c>
      <c r="C598" s="7">
        <v>1.9</v>
      </c>
      <c r="D598" s="7">
        <v>134752.10200000001</v>
      </c>
      <c r="E598" s="7">
        <v>0</v>
      </c>
      <c r="F598" s="7">
        <v>1347521.02</v>
      </c>
      <c r="G598" s="7">
        <v>0</v>
      </c>
      <c r="H598" s="7">
        <v>0</v>
      </c>
      <c r="I598" s="7">
        <v>1347521.02</v>
      </c>
      <c r="J598" s="7">
        <v>215000</v>
      </c>
      <c r="K598" s="7">
        <v>0</v>
      </c>
      <c r="L598" s="7">
        <v>247478.98</v>
      </c>
      <c r="M598" s="7">
        <v>1810000</v>
      </c>
      <c r="N598" s="7">
        <v>29411.759999999998</v>
      </c>
      <c r="O598" s="7">
        <v>1318109.26</v>
      </c>
      <c r="P598" s="7">
        <v>424853</v>
      </c>
      <c r="Q598" s="7">
        <v>893256.26</v>
      </c>
      <c r="R598" s="7">
        <v>0</v>
      </c>
      <c r="S598" s="7">
        <v>19</v>
      </c>
      <c r="T598" s="7">
        <v>0</v>
      </c>
      <c r="U598" s="7">
        <v>0</v>
      </c>
      <c r="V598" s="9">
        <v>46189.853409826392</v>
      </c>
    </row>
    <row r="599" spans="1:22" x14ac:dyDescent="0.2">
      <c r="A599" s="8">
        <v>46041</v>
      </c>
      <c r="B599" s="7">
        <v>17</v>
      </c>
      <c r="C599" s="7">
        <v>2.1</v>
      </c>
      <c r="D599" s="7">
        <v>152413.24799999999</v>
      </c>
      <c r="E599" s="7">
        <v>0</v>
      </c>
      <c r="F599" s="7">
        <v>2591025.23</v>
      </c>
      <c r="G599" s="7">
        <v>0</v>
      </c>
      <c r="H599" s="7">
        <v>0</v>
      </c>
      <c r="I599" s="7">
        <v>2591025.23</v>
      </c>
      <c r="J599" s="7">
        <v>44000</v>
      </c>
      <c r="K599" s="7">
        <v>0</v>
      </c>
      <c r="L599" s="7">
        <v>439474.77</v>
      </c>
      <c r="M599" s="7">
        <v>3074500</v>
      </c>
      <c r="N599" s="7">
        <v>29411.759999999998</v>
      </c>
      <c r="O599" s="7">
        <v>2561613.4700000002</v>
      </c>
      <c r="P599" s="7">
        <v>924834</v>
      </c>
      <c r="Q599" s="7">
        <v>1636779.47</v>
      </c>
      <c r="R599" s="7">
        <v>0</v>
      </c>
      <c r="S599" s="7">
        <v>35</v>
      </c>
      <c r="T599" s="7">
        <v>0</v>
      </c>
      <c r="U599" s="7">
        <v>0</v>
      </c>
      <c r="V599" s="9">
        <v>46189.853409826392</v>
      </c>
    </row>
    <row r="600" spans="1:22" x14ac:dyDescent="0.2">
      <c r="A600" s="8">
        <v>46042</v>
      </c>
      <c r="B600" s="7">
        <v>9</v>
      </c>
      <c r="C600" s="7">
        <v>2.4</v>
      </c>
      <c r="D600" s="7">
        <v>150606.91</v>
      </c>
      <c r="E600" s="7">
        <v>0</v>
      </c>
      <c r="F600" s="7">
        <v>1355462.19</v>
      </c>
      <c r="G600" s="7">
        <v>0</v>
      </c>
      <c r="H600" s="7">
        <v>0</v>
      </c>
      <c r="I600" s="7">
        <v>1355462.19</v>
      </c>
      <c r="J600" s="7">
        <v>39000</v>
      </c>
      <c r="K600" s="7">
        <v>0</v>
      </c>
      <c r="L600" s="7">
        <v>257537.81</v>
      </c>
      <c r="M600" s="7">
        <v>1652000</v>
      </c>
      <c r="N600" s="7">
        <v>88235.29</v>
      </c>
      <c r="O600" s="7">
        <v>1267226.8999999999</v>
      </c>
      <c r="P600" s="7">
        <v>368166</v>
      </c>
      <c r="Q600" s="7">
        <v>899060.9</v>
      </c>
      <c r="R600" s="7">
        <v>0</v>
      </c>
      <c r="S600" s="7">
        <v>22</v>
      </c>
      <c r="T600" s="7">
        <v>0</v>
      </c>
      <c r="U600" s="7">
        <v>0</v>
      </c>
      <c r="V600" s="9">
        <v>46189.853409826392</v>
      </c>
    </row>
    <row r="601" spans="1:22" x14ac:dyDescent="0.2">
      <c r="A601" s="8">
        <v>46043</v>
      </c>
      <c r="B601" s="7">
        <v>27</v>
      </c>
      <c r="C601" s="7">
        <v>2.5</v>
      </c>
      <c r="D601" s="7">
        <v>153454.715</v>
      </c>
      <c r="E601" s="7">
        <v>0</v>
      </c>
      <c r="F601" s="7">
        <v>4260924.38</v>
      </c>
      <c r="G601" s="7">
        <v>0</v>
      </c>
      <c r="H601" s="7">
        <v>0</v>
      </c>
      <c r="I601" s="7">
        <v>4260924.38</v>
      </c>
      <c r="J601" s="7">
        <v>84000</v>
      </c>
      <c r="K601" s="7">
        <v>0</v>
      </c>
      <c r="L601" s="7">
        <v>809575.62</v>
      </c>
      <c r="M601" s="7">
        <v>5154500</v>
      </c>
      <c r="N601" s="7">
        <v>626050.41</v>
      </c>
      <c r="O601" s="7">
        <v>3634873.97</v>
      </c>
      <c r="P601" s="7">
        <v>922530</v>
      </c>
      <c r="Q601" s="7">
        <v>2712343.97</v>
      </c>
      <c r="R601" s="7">
        <v>0</v>
      </c>
      <c r="S601" s="7">
        <v>70</v>
      </c>
      <c r="T601" s="7">
        <v>0</v>
      </c>
      <c r="U601" s="7">
        <v>0</v>
      </c>
      <c r="V601" s="9">
        <v>46189.853409826392</v>
      </c>
    </row>
    <row r="602" spans="1:22" x14ac:dyDescent="0.2">
      <c r="A602" s="8">
        <v>46044</v>
      </c>
      <c r="B602" s="7">
        <v>18</v>
      </c>
      <c r="C602" s="7">
        <v>2.1</v>
      </c>
      <c r="D602" s="7">
        <v>124463.118</v>
      </c>
      <c r="E602" s="7">
        <v>-31</v>
      </c>
      <c r="F602" s="7">
        <v>9894957.9700000007</v>
      </c>
      <c r="G602" s="7">
        <v>-91596.62</v>
      </c>
      <c r="H602" s="7">
        <v>-6806722.6900000004</v>
      </c>
      <c r="I602" s="7">
        <v>2996638.66</v>
      </c>
      <c r="J602" s="7">
        <v>40000</v>
      </c>
      <c r="K602" s="7">
        <v>0</v>
      </c>
      <c r="L602" s="7">
        <v>569361.34</v>
      </c>
      <c r="M602" s="7">
        <v>3606000</v>
      </c>
      <c r="N602" s="7">
        <v>0</v>
      </c>
      <c r="O602" s="7">
        <v>2951638.66</v>
      </c>
      <c r="P602" s="7">
        <v>1216182</v>
      </c>
      <c r="Q602" s="7">
        <v>1735456.66</v>
      </c>
      <c r="R602" s="7">
        <v>0</v>
      </c>
      <c r="S602" s="7">
        <v>36</v>
      </c>
      <c r="T602" s="7">
        <v>0</v>
      </c>
      <c r="U602" s="7">
        <v>0</v>
      </c>
      <c r="V602" s="9">
        <v>46189.853409826392</v>
      </c>
    </row>
    <row r="603" spans="1:22" x14ac:dyDescent="0.2">
      <c r="A603" s="8">
        <v>46045</v>
      </c>
      <c r="B603" s="7">
        <v>12</v>
      </c>
      <c r="C603" s="7">
        <v>2</v>
      </c>
      <c r="D603" s="7">
        <v>111344.538</v>
      </c>
      <c r="E603" s="7">
        <v>0</v>
      </c>
      <c r="F603" s="7">
        <v>1336134.46</v>
      </c>
      <c r="G603" s="7">
        <v>0</v>
      </c>
      <c r="H603" s="7">
        <v>0</v>
      </c>
      <c r="I603" s="7">
        <v>1336134.46</v>
      </c>
      <c r="J603" s="7">
        <v>16000</v>
      </c>
      <c r="K603" s="7">
        <v>0</v>
      </c>
      <c r="L603" s="7">
        <v>253865.54</v>
      </c>
      <c r="M603" s="7">
        <v>1606000</v>
      </c>
      <c r="N603" s="7">
        <v>29411.759999999998</v>
      </c>
      <c r="O603" s="7">
        <v>1306722.7</v>
      </c>
      <c r="P603" s="7">
        <v>310755</v>
      </c>
      <c r="Q603" s="7">
        <v>995967.7</v>
      </c>
      <c r="R603" s="7">
        <v>0</v>
      </c>
      <c r="S603" s="7">
        <v>24</v>
      </c>
      <c r="T603" s="7">
        <v>0</v>
      </c>
      <c r="U603" s="7">
        <v>0</v>
      </c>
      <c r="V603" s="9">
        <v>46189.853409826392</v>
      </c>
    </row>
    <row r="604" spans="1:22" x14ac:dyDescent="0.2">
      <c r="A604" s="8">
        <v>46046</v>
      </c>
      <c r="B604" s="7">
        <v>17</v>
      </c>
      <c r="C604" s="7">
        <v>1.6</v>
      </c>
      <c r="D604" s="7">
        <v>95600.592000000004</v>
      </c>
      <c r="E604" s="7">
        <v>0</v>
      </c>
      <c r="F604" s="7">
        <v>1625210.08</v>
      </c>
      <c r="G604" s="7">
        <v>0</v>
      </c>
      <c r="H604" s="7">
        <v>0</v>
      </c>
      <c r="I604" s="7">
        <v>1625210.08</v>
      </c>
      <c r="J604" s="7">
        <v>9000</v>
      </c>
      <c r="K604" s="7">
        <v>0</v>
      </c>
      <c r="L604" s="7">
        <v>308789.92</v>
      </c>
      <c r="M604" s="7">
        <v>1943000</v>
      </c>
      <c r="N604" s="7">
        <v>121008.4</v>
      </c>
      <c r="O604" s="7">
        <v>1504201.68</v>
      </c>
      <c r="P604" s="7">
        <v>459870</v>
      </c>
      <c r="Q604" s="7">
        <v>1044331.68</v>
      </c>
      <c r="R604" s="7">
        <v>100000</v>
      </c>
      <c r="S604" s="7">
        <v>27</v>
      </c>
      <c r="T604" s="7">
        <v>0</v>
      </c>
      <c r="U604" s="7">
        <v>100000</v>
      </c>
      <c r="V604" s="9">
        <v>46189.853409826392</v>
      </c>
    </row>
    <row r="605" spans="1:22" x14ac:dyDescent="0.2">
      <c r="A605" s="8">
        <v>46047</v>
      </c>
      <c r="B605" s="7">
        <v>13</v>
      </c>
      <c r="C605" s="7">
        <v>1.5</v>
      </c>
      <c r="D605" s="7">
        <v>90032.966</v>
      </c>
      <c r="E605" s="7">
        <v>0</v>
      </c>
      <c r="F605" s="7">
        <v>1170428.57</v>
      </c>
      <c r="G605" s="7">
        <v>0</v>
      </c>
      <c r="H605" s="7">
        <v>0</v>
      </c>
      <c r="I605" s="7">
        <v>1170428.57</v>
      </c>
      <c r="J605" s="7">
        <v>40000</v>
      </c>
      <c r="K605" s="7">
        <v>0</v>
      </c>
      <c r="L605" s="7">
        <v>203571.43</v>
      </c>
      <c r="M605" s="7">
        <v>1414000</v>
      </c>
      <c r="N605" s="7">
        <v>288075.63</v>
      </c>
      <c r="O605" s="7">
        <v>882352.94</v>
      </c>
      <c r="P605" s="7">
        <v>263495</v>
      </c>
      <c r="Q605" s="7">
        <v>618857.93999999994</v>
      </c>
      <c r="R605" s="7">
        <v>0</v>
      </c>
      <c r="S605" s="7">
        <v>19</v>
      </c>
      <c r="T605" s="7">
        <v>0</v>
      </c>
      <c r="U605" s="7">
        <v>0</v>
      </c>
      <c r="V605" s="9">
        <v>46189.853409826392</v>
      </c>
    </row>
    <row r="606" spans="1:22" x14ac:dyDescent="0.2">
      <c r="A606" s="8">
        <v>46048</v>
      </c>
      <c r="B606" s="7">
        <v>17</v>
      </c>
      <c r="C606" s="7">
        <v>2.9</v>
      </c>
      <c r="D606" s="7">
        <v>196214.685</v>
      </c>
      <c r="E606" s="7">
        <v>-2</v>
      </c>
      <c r="F606" s="7">
        <v>3540201.68</v>
      </c>
      <c r="G606" s="7">
        <v>-35552.019999999997</v>
      </c>
      <c r="H606" s="7">
        <v>-365546.22</v>
      </c>
      <c r="I606" s="7">
        <v>3139103.44</v>
      </c>
      <c r="J606" s="7">
        <v>76000</v>
      </c>
      <c r="K606" s="7">
        <v>0</v>
      </c>
      <c r="L606" s="7">
        <v>513896.56</v>
      </c>
      <c r="M606" s="7">
        <v>3729000</v>
      </c>
      <c r="N606" s="7">
        <v>0</v>
      </c>
      <c r="O606" s="7">
        <v>3139103.44</v>
      </c>
      <c r="P606" s="7">
        <v>900126</v>
      </c>
      <c r="Q606" s="7">
        <v>2238977.44</v>
      </c>
      <c r="R606" s="7">
        <v>0</v>
      </c>
      <c r="S606" s="7">
        <v>48</v>
      </c>
      <c r="T606" s="7">
        <v>0</v>
      </c>
      <c r="U606" s="7">
        <v>0</v>
      </c>
      <c r="V606" s="9">
        <v>46189.853409826392</v>
      </c>
    </row>
    <row r="607" spans="1:22" x14ac:dyDescent="0.2">
      <c r="A607" s="8">
        <v>46049</v>
      </c>
      <c r="B607" s="7">
        <v>13</v>
      </c>
      <c r="C607" s="7">
        <v>1.9</v>
      </c>
      <c r="D607" s="7">
        <v>160556.56200000001</v>
      </c>
      <c r="E607" s="7">
        <v>0</v>
      </c>
      <c r="F607" s="7">
        <v>2104042.0299999998</v>
      </c>
      <c r="G607" s="7">
        <v>-16806.72</v>
      </c>
      <c r="H607" s="7">
        <v>0</v>
      </c>
      <c r="I607" s="7">
        <v>2087235.31</v>
      </c>
      <c r="J607" s="7">
        <v>68000</v>
      </c>
      <c r="K607" s="7">
        <v>0</v>
      </c>
      <c r="L607" s="7">
        <v>377764.69</v>
      </c>
      <c r="M607" s="7">
        <v>2533000</v>
      </c>
      <c r="N607" s="7">
        <v>0</v>
      </c>
      <c r="O607" s="7">
        <v>2087235.31</v>
      </c>
      <c r="P607" s="7">
        <v>593363</v>
      </c>
      <c r="Q607" s="7">
        <v>1493872.31</v>
      </c>
      <c r="R607" s="7">
        <v>0</v>
      </c>
      <c r="S607" s="7">
        <v>25</v>
      </c>
      <c r="T607" s="7">
        <v>0</v>
      </c>
      <c r="U607" s="7">
        <v>0</v>
      </c>
      <c r="V607" s="9">
        <v>46189.853409826392</v>
      </c>
    </row>
    <row r="608" spans="1:22" x14ac:dyDescent="0.2">
      <c r="A608" s="8">
        <v>46050</v>
      </c>
      <c r="B608" s="7">
        <v>16</v>
      </c>
      <c r="C608" s="7">
        <v>2.5</v>
      </c>
      <c r="D608" s="7">
        <v>168269.43299999999</v>
      </c>
      <c r="E608" s="7">
        <v>0</v>
      </c>
      <c r="F608" s="7">
        <v>2713319.31</v>
      </c>
      <c r="G608" s="7">
        <v>-21008.38</v>
      </c>
      <c r="H608" s="7">
        <v>0</v>
      </c>
      <c r="I608" s="7">
        <v>2692310.93</v>
      </c>
      <c r="J608" s="7">
        <v>56000</v>
      </c>
      <c r="K608" s="7">
        <v>0</v>
      </c>
      <c r="L608" s="7">
        <v>489689.07</v>
      </c>
      <c r="M608" s="7">
        <v>3238000</v>
      </c>
      <c r="N608" s="7">
        <v>0</v>
      </c>
      <c r="O608" s="7">
        <v>2692310.93</v>
      </c>
      <c r="P608" s="7">
        <v>741903</v>
      </c>
      <c r="Q608" s="7">
        <v>1950407.93</v>
      </c>
      <c r="R608" s="7">
        <v>0</v>
      </c>
      <c r="S608" s="7">
        <v>40</v>
      </c>
      <c r="T608" s="7">
        <v>0</v>
      </c>
      <c r="U608" s="7">
        <v>0</v>
      </c>
      <c r="V608" s="9">
        <v>46189.853409826392</v>
      </c>
    </row>
    <row r="609" spans="1:22" x14ac:dyDescent="0.2">
      <c r="A609" s="8">
        <v>46051</v>
      </c>
      <c r="B609" s="7">
        <v>9</v>
      </c>
      <c r="C609" s="7">
        <v>2.6</v>
      </c>
      <c r="D609" s="7">
        <v>108309.992</v>
      </c>
      <c r="E609" s="7">
        <v>0</v>
      </c>
      <c r="F609" s="7">
        <v>974789.93</v>
      </c>
      <c r="G609" s="7">
        <v>0</v>
      </c>
      <c r="H609" s="7">
        <v>0</v>
      </c>
      <c r="I609" s="7">
        <v>974789.93</v>
      </c>
      <c r="J609" s="7">
        <v>60000</v>
      </c>
      <c r="K609" s="7">
        <v>0</v>
      </c>
      <c r="L609" s="7">
        <v>185210.07</v>
      </c>
      <c r="M609" s="7">
        <v>1220000</v>
      </c>
      <c r="N609" s="7">
        <v>0</v>
      </c>
      <c r="O609" s="7">
        <v>974789.93</v>
      </c>
      <c r="P609" s="7">
        <v>244305</v>
      </c>
      <c r="Q609" s="7">
        <v>730484.93</v>
      </c>
      <c r="R609" s="7">
        <v>0</v>
      </c>
      <c r="S609" s="7">
        <v>23</v>
      </c>
      <c r="T609" s="7">
        <v>0</v>
      </c>
      <c r="U609" s="7">
        <v>0</v>
      </c>
      <c r="V609" s="9">
        <v>46189.853409826392</v>
      </c>
    </row>
    <row r="610" spans="1:22" x14ac:dyDescent="0.2">
      <c r="A610" s="8">
        <v>46052</v>
      </c>
      <c r="B610" s="7">
        <v>18</v>
      </c>
      <c r="C610" s="7">
        <v>2.2000000000000002</v>
      </c>
      <c r="D610" s="7">
        <v>143853.875</v>
      </c>
      <c r="E610" s="7">
        <v>0</v>
      </c>
      <c r="F610" s="7">
        <v>2589369.75</v>
      </c>
      <c r="G610" s="7">
        <v>0</v>
      </c>
      <c r="H610" s="7">
        <v>0</v>
      </c>
      <c r="I610" s="7">
        <v>2589369.75</v>
      </c>
      <c r="J610" s="7">
        <v>48000</v>
      </c>
      <c r="K610" s="7">
        <v>0</v>
      </c>
      <c r="L610" s="7">
        <v>451130.25</v>
      </c>
      <c r="M610" s="7">
        <v>3088500</v>
      </c>
      <c r="N610" s="7">
        <v>0</v>
      </c>
      <c r="O610" s="7">
        <v>2589369.75</v>
      </c>
      <c r="P610" s="7">
        <v>1072348</v>
      </c>
      <c r="Q610" s="7">
        <v>1517021.75</v>
      </c>
      <c r="R610" s="7">
        <v>0</v>
      </c>
      <c r="S610" s="7">
        <v>40</v>
      </c>
      <c r="T610" s="7">
        <v>0</v>
      </c>
      <c r="U610" s="7">
        <v>0</v>
      </c>
      <c r="V610" s="9">
        <v>46189.853409826392</v>
      </c>
    </row>
    <row r="611" spans="1:22" x14ac:dyDescent="0.2">
      <c r="A611" s="8">
        <v>46053</v>
      </c>
      <c r="B611" s="7">
        <v>15</v>
      </c>
      <c r="C611" s="7">
        <v>2.2000000000000002</v>
      </c>
      <c r="D611" s="7">
        <v>130984.314</v>
      </c>
      <c r="E611" s="7">
        <v>0</v>
      </c>
      <c r="F611" s="7">
        <v>1968966.38</v>
      </c>
      <c r="G611" s="7">
        <v>-4201.67</v>
      </c>
      <c r="H611" s="7">
        <v>0</v>
      </c>
      <c r="I611" s="7">
        <v>1964764.71</v>
      </c>
      <c r="J611" s="7">
        <v>12000</v>
      </c>
      <c r="K611" s="7">
        <v>0</v>
      </c>
      <c r="L611" s="7">
        <v>344235.29</v>
      </c>
      <c r="M611" s="7">
        <v>2321000</v>
      </c>
      <c r="N611" s="7">
        <v>0</v>
      </c>
      <c r="O611" s="7">
        <v>1964764.71</v>
      </c>
      <c r="P611" s="7">
        <v>584141</v>
      </c>
      <c r="Q611" s="7">
        <v>1380623.71</v>
      </c>
      <c r="R611" s="7">
        <v>0</v>
      </c>
      <c r="S611" s="7">
        <v>33</v>
      </c>
      <c r="T611" s="7">
        <v>0</v>
      </c>
      <c r="U611" s="7">
        <v>0</v>
      </c>
      <c r="V611" s="9">
        <v>46189.853409826392</v>
      </c>
    </row>
    <row r="612" spans="1:22" x14ac:dyDescent="0.2">
      <c r="A612" s="8">
        <v>46054</v>
      </c>
      <c r="B612" s="7">
        <v>4</v>
      </c>
      <c r="C612" s="7">
        <v>1</v>
      </c>
      <c r="D612" s="7">
        <v>112394.96</v>
      </c>
      <c r="E612" s="7">
        <v>0</v>
      </c>
      <c r="F612" s="7">
        <v>449579.84</v>
      </c>
      <c r="G612" s="7">
        <v>0</v>
      </c>
      <c r="H612" s="7">
        <v>0</v>
      </c>
      <c r="I612" s="7">
        <v>449579.84</v>
      </c>
      <c r="J612" s="7">
        <v>44000</v>
      </c>
      <c r="K612" s="7">
        <v>0</v>
      </c>
      <c r="L612" s="7">
        <v>85420.160000000003</v>
      </c>
      <c r="M612" s="7">
        <v>579000</v>
      </c>
      <c r="N612" s="7">
        <v>0</v>
      </c>
      <c r="O612" s="7">
        <v>449579.84</v>
      </c>
      <c r="P612" s="7">
        <v>213250</v>
      </c>
      <c r="Q612" s="7">
        <v>236329.84</v>
      </c>
      <c r="R612" s="7">
        <v>0</v>
      </c>
      <c r="S612" s="7">
        <v>4</v>
      </c>
      <c r="T612" s="7">
        <v>0</v>
      </c>
      <c r="U612" s="7">
        <v>0</v>
      </c>
      <c r="V612" s="9">
        <v>46189.853409826392</v>
      </c>
    </row>
    <row r="613" spans="1:22" x14ac:dyDescent="0.2">
      <c r="A613" s="8">
        <v>46055</v>
      </c>
      <c r="B613" s="7">
        <v>20</v>
      </c>
      <c r="C613" s="7">
        <v>1.6</v>
      </c>
      <c r="D613" s="7">
        <v>94642.857000000004</v>
      </c>
      <c r="E613" s="7">
        <v>0</v>
      </c>
      <c r="F613" s="7">
        <v>1892857.15</v>
      </c>
      <c r="G613" s="7">
        <v>0</v>
      </c>
      <c r="H613" s="7">
        <v>0</v>
      </c>
      <c r="I613" s="7">
        <v>1892857.15</v>
      </c>
      <c r="J613" s="7">
        <v>68000</v>
      </c>
      <c r="K613" s="7">
        <v>0</v>
      </c>
      <c r="L613" s="7">
        <v>359642.85</v>
      </c>
      <c r="M613" s="7">
        <v>2320500</v>
      </c>
      <c r="N613" s="7">
        <v>58823.53</v>
      </c>
      <c r="O613" s="7">
        <v>1834033.62</v>
      </c>
      <c r="P613" s="7">
        <v>538695</v>
      </c>
      <c r="Q613" s="7">
        <v>1295338.6200000001</v>
      </c>
      <c r="R613" s="7">
        <v>0</v>
      </c>
      <c r="S613" s="7">
        <v>31</v>
      </c>
      <c r="T613" s="7">
        <v>0</v>
      </c>
      <c r="U613" s="7">
        <v>0</v>
      </c>
      <c r="V613" s="9">
        <v>46189.853409826392</v>
      </c>
    </row>
    <row r="614" spans="1:22" x14ac:dyDescent="0.2">
      <c r="A614" s="8">
        <v>46056</v>
      </c>
      <c r="B614" s="7">
        <v>19</v>
      </c>
      <c r="C614" s="7">
        <v>2</v>
      </c>
      <c r="D614" s="7">
        <v>137214.06400000001</v>
      </c>
      <c r="E614" s="7">
        <v>0</v>
      </c>
      <c r="F614" s="7">
        <v>2611268.9</v>
      </c>
      <c r="G614" s="7">
        <v>-4201.68</v>
      </c>
      <c r="H614" s="7">
        <v>0</v>
      </c>
      <c r="I614" s="7">
        <v>2607067.2200000002</v>
      </c>
      <c r="J614" s="7">
        <v>52000</v>
      </c>
      <c r="K614" s="7">
        <v>0</v>
      </c>
      <c r="L614" s="7">
        <v>478432.78</v>
      </c>
      <c r="M614" s="7">
        <v>3137500</v>
      </c>
      <c r="N614" s="7">
        <v>29411.759999999998</v>
      </c>
      <c r="O614" s="7">
        <v>2577655.46</v>
      </c>
      <c r="P614" s="7">
        <v>782412</v>
      </c>
      <c r="Q614" s="7">
        <v>1795243.46</v>
      </c>
      <c r="R614" s="7">
        <v>0</v>
      </c>
      <c r="S614" s="7">
        <v>38</v>
      </c>
      <c r="T614" s="7">
        <v>0</v>
      </c>
      <c r="U614" s="7">
        <v>0</v>
      </c>
      <c r="V614" s="9">
        <v>46189.853409826392</v>
      </c>
    </row>
    <row r="615" spans="1:22" x14ac:dyDescent="0.2">
      <c r="A615" s="8">
        <v>46057</v>
      </c>
      <c r="B615" s="7">
        <v>15</v>
      </c>
      <c r="C615" s="7">
        <v>1.8</v>
      </c>
      <c r="D615" s="7">
        <v>128291.317</v>
      </c>
      <c r="E615" s="7">
        <v>0</v>
      </c>
      <c r="F615" s="7">
        <v>1924369.76</v>
      </c>
      <c r="G615" s="7">
        <v>0</v>
      </c>
      <c r="H615" s="7">
        <v>0</v>
      </c>
      <c r="I615" s="7">
        <v>1924369.76</v>
      </c>
      <c r="J615" s="7">
        <v>68000</v>
      </c>
      <c r="K615" s="7">
        <v>0</v>
      </c>
      <c r="L615" s="7">
        <v>365630.24</v>
      </c>
      <c r="M615" s="7">
        <v>2358000</v>
      </c>
      <c r="N615" s="7">
        <v>0</v>
      </c>
      <c r="O615" s="7">
        <v>1924369.76</v>
      </c>
      <c r="P615" s="7">
        <v>509380</v>
      </c>
      <c r="Q615" s="7">
        <v>1414989.76</v>
      </c>
      <c r="R615" s="7">
        <v>0</v>
      </c>
      <c r="S615" s="7">
        <v>27</v>
      </c>
      <c r="T615" s="7">
        <v>0</v>
      </c>
      <c r="U615" s="7">
        <v>0</v>
      </c>
      <c r="V615" s="9">
        <v>46189.853409826392</v>
      </c>
    </row>
    <row r="616" spans="1:22" x14ac:dyDescent="0.2">
      <c r="A616" s="8">
        <v>46058</v>
      </c>
      <c r="B616" s="7">
        <v>21</v>
      </c>
      <c r="C616" s="7">
        <v>1.5</v>
      </c>
      <c r="D616" s="7">
        <v>101617.04700000001</v>
      </c>
      <c r="E616" s="7">
        <v>0</v>
      </c>
      <c r="F616" s="7">
        <v>2133958</v>
      </c>
      <c r="G616" s="7">
        <v>0</v>
      </c>
      <c r="H616" s="7">
        <v>0</v>
      </c>
      <c r="I616" s="7">
        <v>2133958</v>
      </c>
      <c r="J616" s="7">
        <v>28000</v>
      </c>
      <c r="K616" s="7">
        <v>0</v>
      </c>
      <c r="L616" s="7">
        <v>360042</v>
      </c>
      <c r="M616" s="7">
        <v>2522000</v>
      </c>
      <c r="N616" s="7">
        <v>140000</v>
      </c>
      <c r="O616" s="7">
        <v>1993958</v>
      </c>
      <c r="P616" s="7">
        <v>525891</v>
      </c>
      <c r="Q616" s="7">
        <v>1468067</v>
      </c>
      <c r="R616" s="7">
        <v>0</v>
      </c>
      <c r="S616" s="7">
        <v>31</v>
      </c>
      <c r="T616" s="7">
        <v>0</v>
      </c>
      <c r="U616" s="7">
        <v>0</v>
      </c>
      <c r="V616" s="9">
        <v>46189.853409826392</v>
      </c>
    </row>
    <row r="617" spans="1:22" x14ac:dyDescent="0.2">
      <c r="A617" s="8">
        <v>46059</v>
      </c>
      <c r="B617" s="7">
        <v>18</v>
      </c>
      <c r="C617" s="7">
        <v>1.8</v>
      </c>
      <c r="D617" s="7">
        <v>113459.849</v>
      </c>
      <c r="E617" s="7">
        <v>0</v>
      </c>
      <c r="F617" s="7">
        <v>2042277.29</v>
      </c>
      <c r="G617" s="7">
        <v>0</v>
      </c>
      <c r="H617" s="7">
        <v>0</v>
      </c>
      <c r="I617" s="7">
        <v>2042277.29</v>
      </c>
      <c r="J617" s="7">
        <v>60000</v>
      </c>
      <c r="K617" s="7">
        <v>0</v>
      </c>
      <c r="L617" s="7">
        <v>378722.71</v>
      </c>
      <c r="M617" s="7">
        <v>2481000</v>
      </c>
      <c r="N617" s="7">
        <v>46218.49</v>
      </c>
      <c r="O617" s="7">
        <v>1996058.8</v>
      </c>
      <c r="P617" s="7">
        <v>491791</v>
      </c>
      <c r="Q617" s="7">
        <v>1504267.8</v>
      </c>
      <c r="R617" s="7">
        <v>0</v>
      </c>
      <c r="S617" s="7">
        <v>33</v>
      </c>
      <c r="T617" s="7">
        <v>0</v>
      </c>
      <c r="U617" s="7">
        <v>0</v>
      </c>
      <c r="V617" s="9">
        <v>46189.853409826392</v>
      </c>
    </row>
    <row r="618" spans="1:22" x14ac:dyDescent="0.2">
      <c r="A618" s="8">
        <v>46060</v>
      </c>
      <c r="B618" s="7">
        <v>16</v>
      </c>
      <c r="C618" s="7">
        <v>1.8</v>
      </c>
      <c r="D618" s="7">
        <v>118933.823</v>
      </c>
      <c r="E618" s="7">
        <v>0</v>
      </c>
      <c r="F618" s="7">
        <v>1902941.18</v>
      </c>
      <c r="G618" s="7">
        <v>0</v>
      </c>
      <c r="H618" s="7">
        <v>0</v>
      </c>
      <c r="I618" s="7">
        <v>1902941.18</v>
      </c>
      <c r="J618" s="7">
        <v>44000</v>
      </c>
      <c r="K618" s="7">
        <v>0</v>
      </c>
      <c r="L618" s="7">
        <v>361558.82</v>
      </c>
      <c r="M618" s="7">
        <v>2308500</v>
      </c>
      <c r="N618" s="7">
        <v>0</v>
      </c>
      <c r="O618" s="7">
        <v>1902941.18</v>
      </c>
      <c r="P618" s="7">
        <v>471929</v>
      </c>
      <c r="Q618" s="7">
        <v>1431012.18</v>
      </c>
      <c r="R618" s="7">
        <v>0</v>
      </c>
      <c r="S618" s="7">
        <v>29</v>
      </c>
      <c r="T618" s="7">
        <v>0</v>
      </c>
      <c r="U618" s="7">
        <v>0</v>
      </c>
      <c r="V618" s="9">
        <v>46189.853409826392</v>
      </c>
    </row>
    <row r="619" spans="1:22" x14ac:dyDescent="0.2">
      <c r="A619" s="8">
        <v>46061</v>
      </c>
      <c r="B619" s="7">
        <v>3</v>
      </c>
      <c r="C619" s="7">
        <v>1</v>
      </c>
      <c r="D619" s="7">
        <v>75630.252999999997</v>
      </c>
      <c r="E619" s="7">
        <v>0</v>
      </c>
      <c r="F619" s="7">
        <v>226890.76</v>
      </c>
      <c r="G619" s="7">
        <v>0</v>
      </c>
      <c r="H619" s="7">
        <v>0</v>
      </c>
      <c r="I619" s="7">
        <v>226890.76</v>
      </c>
      <c r="J619" s="7">
        <v>32000</v>
      </c>
      <c r="K619" s="7">
        <v>0</v>
      </c>
      <c r="L619" s="7">
        <v>43109.24</v>
      </c>
      <c r="M619" s="7">
        <v>302000</v>
      </c>
      <c r="N619" s="7">
        <v>0</v>
      </c>
      <c r="O619" s="7">
        <v>226890.76</v>
      </c>
      <c r="P619" s="7">
        <v>67098</v>
      </c>
      <c r="Q619" s="7">
        <v>159792.76</v>
      </c>
      <c r="R619" s="7">
        <v>0</v>
      </c>
      <c r="S619" s="7">
        <v>3</v>
      </c>
      <c r="T619" s="7">
        <v>0</v>
      </c>
      <c r="U619" s="7">
        <v>0</v>
      </c>
      <c r="V619" s="9">
        <v>46189.853409826392</v>
      </c>
    </row>
    <row r="620" spans="1:22" x14ac:dyDescent="0.2">
      <c r="A620" s="8">
        <v>46062</v>
      </c>
      <c r="B620" s="7">
        <v>18</v>
      </c>
      <c r="C620" s="7">
        <v>1.7</v>
      </c>
      <c r="D620" s="7">
        <v>110550.887</v>
      </c>
      <c r="E620" s="7">
        <v>0</v>
      </c>
      <c r="F620" s="7">
        <v>1989915.98</v>
      </c>
      <c r="G620" s="7">
        <v>0</v>
      </c>
      <c r="H620" s="7">
        <v>0</v>
      </c>
      <c r="I620" s="7">
        <v>1989915.98</v>
      </c>
      <c r="J620" s="7">
        <v>28000</v>
      </c>
      <c r="K620" s="7">
        <v>0</v>
      </c>
      <c r="L620" s="7">
        <v>378084.02</v>
      </c>
      <c r="M620" s="7">
        <v>2396000</v>
      </c>
      <c r="N620" s="7">
        <v>0</v>
      </c>
      <c r="O620" s="7">
        <v>1989915.98</v>
      </c>
      <c r="P620" s="7">
        <v>518108</v>
      </c>
      <c r="Q620" s="7">
        <v>1471807.98</v>
      </c>
      <c r="R620" s="7">
        <v>0</v>
      </c>
      <c r="S620" s="7">
        <v>31</v>
      </c>
      <c r="T620" s="7">
        <v>0</v>
      </c>
      <c r="U620" s="7">
        <v>0</v>
      </c>
      <c r="V620" s="9">
        <v>46189.853409826392</v>
      </c>
    </row>
    <row r="621" spans="1:22" x14ac:dyDescent="0.2">
      <c r="A621" s="8">
        <v>46063</v>
      </c>
      <c r="B621" s="7">
        <v>19</v>
      </c>
      <c r="C621" s="7">
        <v>2.2000000000000002</v>
      </c>
      <c r="D621" s="7">
        <v>141242.81299999999</v>
      </c>
      <c r="E621" s="7">
        <v>-1</v>
      </c>
      <c r="F621" s="7">
        <v>2896050.42</v>
      </c>
      <c r="G621" s="7">
        <v>-120000</v>
      </c>
      <c r="H621" s="7">
        <v>-92436.97</v>
      </c>
      <c r="I621" s="7">
        <v>2683613.4500000002</v>
      </c>
      <c r="J621" s="7">
        <v>36000</v>
      </c>
      <c r="K621" s="7">
        <v>0</v>
      </c>
      <c r="L621" s="7">
        <v>509886.55</v>
      </c>
      <c r="M621" s="7">
        <v>3229500</v>
      </c>
      <c r="N621" s="7">
        <v>165546.22</v>
      </c>
      <c r="O621" s="7">
        <v>2518067.23</v>
      </c>
      <c r="P621" s="7">
        <v>785922</v>
      </c>
      <c r="Q621" s="7">
        <v>1732145.23</v>
      </c>
      <c r="R621" s="7">
        <v>0</v>
      </c>
      <c r="S621" s="7">
        <v>41</v>
      </c>
      <c r="T621" s="7">
        <v>0</v>
      </c>
      <c r="U621" s="7">
        <v>0</v>
      </c>
      <c r="V621" s="9">
        <v>46189.853409826392</v>
      </c>
    </row>
    <row r="622" spans="1:22" x14ac:dyDescent="0.2">
      <c r="A622" s="8">
        <v>46064</v>
      </c>
      <c r="B622" s="7">
        <v>17</v>
      </c>
      <c r="C622" s="7">
        <v>2.2000000000000002</v>
      </c>
      <c r="D622" s="7">
        <v>162274.84</v>
      </c>
      <c r="E622" s="7">
        <v>0</v>
      </c>
      <c r="F622" s="7">
        <v>2775479.01</v>
      </c>
      <c r="G622" s="7">
        <v>-16806.72</v>
      </c>
      <c r="H622" s="7">
        <v>0</v>
      </c>
      <c r="I622" s="7">
        <v>2758672.29</v>
      </c>
      <c r="J622" s="7">
        <v>52000</v>
      </c>
      <c r="K622" s="7">
        <v>0</v>
      </c>
      <c r="L622" s="7">
        <v>509327.71</v>
      </c>
      <c r="M622" s="7">
        <v>3320000</v>
      </c>
      <c r="N622" s="7">
        <v>0</v>
      </c>
      <c r="O622" s="7">
        <v>2758672.29</v>
      </c>
      <c r="P622" s="7">
        <v>658947</v>
      </c>
      <c r="Q622" s="7">
        <v>2099725.29</v>
      </c>
      <c r="R622" s="7">
        <v>0</v>
      </c>
      <c r="S622" s="7">
        <v>37</v>
      </c>
      <c r="T622" s="7">
        <v>0</v>
      </c>
      <c r="U622" s="7">
        <v>0</v>
      </c>
      <c r="V622" s="9">
        <v>46189.853409826392</v>
      </c>
    </row>
    <row r="623" spans="1:22" x14ac:dyDescent="0.2">
      <c r="A623" s="8">
        <v>46065</v>
      </c>
      <c r="B623" s="7">
        <v>21</v>
      </c>
      <c r="C623" s="7">
        <v>2.6</v>
      </c>
      <c r="D623" s="7">
        <v>158583.43299999999</v>
      </c>
      <c r="E623" s="7">
        <v>-4</v>
      </c>
      <c r="F623" s="7">
        <v>3530302.53</v>
      </c>
      <c r="G623" s="7">
        <v>-42016.81</v>
      </c>
      <c r="H623" s="7">
        <v>-298319.34000000003</v>
      </c>
      <c r="I623" s="7">
        <v>3189966.38</v>
      </c>
      <c r="J623" s="7">
        <v>24000</v>
      </c>
      <c r="K623" s="7">
        <v>0</v>
      </c>
      <c r="L623" s="7">
        <v>592033.62</v>
      </c>
      <c r="M623" s="7">
        <v>3806000</v>
      </c>
      <c r="N623" s="7">
        <v>0</v>
      </c>
      <c r="O623" s="7">
        <v>3189966.38</v>
      </c>
      <c r="P623" s="7">
        <v>748151</v>
      </c>
      <c r="Q623" s="7">
        <v>2441815.38</v>
      </c>
      <c r="R623" s="7">
        <v>300000</v>
      </c>
      <c r="S623" s="7">
        <v>53</v>
      </c>
      <c r="T623" s="7">
        <v>0</v>
      </c>
      <c r="U623" s="7">
        <v>300000</v>
      </c>
      <c r="V623" s="9">
        <v>46189.853409826392</v>
      </c>
    </row>
    <row r="624" spans="1:22" x14ac:dyDescent="0.2">
      <c r="A624" s="8">
        <v>46066</v>
      </c>
      <c r="B624" s="7">
        <v>16</v>
      </c>
      <c r="C624" s="7">
        <v>2.2000000000000002</v>
      </c>
      <c r="D624" s="7">
        <v>94661.239000000001</v>
      </c>
      <c r="E624" s="7">
        <v>0</v>
      </c>
      <c r="F624" s="7">
        <v>1531386.55</v>
      </c>
      <c r="G624" s="7">
        <v>-16806.72</v>
      </c>
      <c r="H624" s="7">
        <v>0</v>
      </c>
      <c r="I624" s="7">
        <v>1514579.83</v>
      </c>
      <c r="J624" s="7">
        <v>28000</v>
      </c>
      <c r="K624" s="7">
        <v>0</v>
      </c>
      <c r="L624" s="7">
        <v>275420.17</v>
      </c>
      <c r="M624" s="7">
        <v>1818000</v>
      </c>
      <c r="N624" s="7">
        <v>0</v>
      </c>
      <c r="O624" s="7">
        <v>1514579.83</v>
      </c>
      <c r="P624" s="7">
        <v>450617</v>
      </c>
      <c r="Q624" s="7">
        <v>1063962.83</v>
      </c>
      <c r="R624" s="7">
        <v>0</v>
      </c>
      <c r="S624" s="7">
        <v>36</v>
      </c>
      <c r="T624" s="7">
        <v>0</v>
      </c>
      <c r="U624" s="7">
        <v>0</v>
      </c>
      <c r="V624" s="9">
        <v>46189.853409826392</v>
      </c>
    </row>
    <row r="625" spans="1:22" x14ac:dyDescent="0.2">
      <c r="A625" s="8">
        <v>46067</v>
      </c>
      <c r="B625" s="7">
        <v>37</v>
      </c>
      <c r="C625" s="7">
        <v>2.2000000000000002</v>
      </c>
      <c r="D625" s="7">
        <v>137667.49900000001</v>
      </c>
      <c r="E625" s="7">
        <v>0</v>
      </c>
      <c r="F625" s="7">
        <v>5169327.68</v>
      </c>
      <c r="G625" s="7">
        <v>-75630.19</v>
      </c>
      <c r="H625" s="7">
        <v>0</v>
      </c>
      <c r="I625" s="7">
        <v>5093697.49</v>
      </c>
      <c r="J625" s="7">
        <v>44000</v>
      </c>
      <c r="K625" s="7">
        <v>0</v>
      </c>
      <c r="L625" s="7">
        <v>967802.51</v>
      </c>
      <c r="M625" s="7">
        <v>6105500</v>
      </c>
      <c r="N625" s="7">
        <v>0</v>
      </c>
      <c r="O625" s="7">
        <v>5093697.49</v>
      </c>
      <c r="P625" s="7">
        <v>1205705</v>
      </c>
      <c r="Q625" s="7">
        <v>3887992.49</v>
      </c>
      <c r="R625" s="7">
        <v>0</v>
      </c>
      <c r="S625" s="7">
        <v>83</v>
      </c>
      <c r="T625" s="7">
        <v>0</v>
      </c>
      <c r="U625" s="7">
        <v>0</v>
      </c>
      <c r="V625" s="9">
        <v>46189.853409826392</v>
      </c>
    </row>
    <row r="626" spans="1:22" x14ac:dyDescent="0.2">
      <c r="A626" s="8">
        <v>46068</v>
      </c>
      <c r="B626" s="7">
        <v>3</v>
      </c>
      <c r="C626" s="7">
        <v>1</v>
      </c>
      <c r="D626" s="7">
        <v>86834.732999999993</v>
      </c>
      <c r="E626" s="7">
        <v>0</v>
      </c>
      <c r="F626" s="7">
        <v>260504.2</v>
      </c>
      <c r="G626" s="7">
        <v>0</v>
      </c>
      <c r="H626" s="7">
        <v>0</v>
      </c>
      <c r="I626" s="7">
        <v>260504.2</v>
      </c>
      <c r="J626" s="7">
        <v>36000</v>
      </c>
      <c r="K626" s="7">
        <v>0</v>
      </c>
      <c r="L626" s="7">
        <v>49495.8</v>
      </c>
      <c r="M626" s="7">
        <v>346000</v>
      </c>
      <c r="N626" s="7">
        <v>0</v>
      </c>
      <c r="O626" s="7">
        <v>260504.2</v>
      </c>
      <c r="P626" s="7">
        <v>96507</v>
      </c>
      <c r="Q626" s="7">
        <v>163997.20000000001</v>
      </c>
      <c r="R626" s="7">
        <v>0</v>
      </c>
      <c r="S626" s="7">
        <v>3</v>
      </c>
      <c r="T626" s="7">
        <v>0</v>
      </c>
      <c r="U626" s="7">
        <v>0</v>
      </c>
      <c r="V626" s="9">
        <v>46189.853409826392</v>
      </c>
    </row>
    <row r="627" spans="1:22" x14ac:dyDescent="0.2">
      <c r="A627" s="8">
        <v>46069</v>
      </c>
      <c r="B627" s="7">
        <v>22</v>
      </c>
      <c r="C627" s="7">
        <v>1.9</v>
      </c>
      <c r="D627" s="7">
        <v>127987.395</v>
      </c>
      <c r="E627" s="7">
        <v>0</v>
      </c>
      <c r="F627" s="7">
        <v>2815722.69</v>
      </c>
      <c r="G627" s="7">
        <v>0</v>
      </c>
      <c r="H627" s="7">
        <v>0</v>
      </c>
      <c r="I627" s="7">
        <v>2815722.69</v>
      </c>
      <c r="J627" s="7">
        <v>52000</v>
      </c>
      <c r="K627" s="7">
        <v>0</v>
      </c>
      <c r="L627" s="7">
        <v>504777.31</v>
      </c>
      <c r="M627" s="7">
        <v>3372500</v>
      </c>
      <c r="N627" s="7">
        <v>0</v>
      </c>
      <c r="O627" s="7">
        <v>2815722.69</v>
      </c>
      <c r="P627" s="7">
        <v>825327</v>
      </c>
      <c r="Q627" s="7">
        <v>1990395.69</v>
      </c>
      <c r="R627" s="7">
        <v>0</v>
      </c>
      <c r="S627" s="7">
        <v>41</v>
      </c>
      <c r="T627" s="7">
        <v>0</v>
      </c>
      <c r="U627" s="7">
        <v>0</v>
      </c>
      <c r="V627" s="9">
        <v>46189.853409826392</v>
      </c>
    </row>
    <row r="628" spans="1:22" x14ac:dyDescent="0.2">
      <c r="A628" s="8">
        <v>46070</v>
      </c>
      <c r="B628" s="7">
        <v>28</v>
      </c>
      <c r="C628" s="7">
        <v>2.1</v>
      </c>
      <c r="D628" s="7">
        <v>185421.66800000001</v>
      </c>
      <c r="E628" s="7">
        <v>-1</v>
      </c>
      <c r="F628" s="7">
        <v>6024369.75</v>
      </c>
      <c r="G628" s="7">
        <v>-20798.310000000001</v>
      </c>
      <c r="H628" s="7">
        <v>-1777764.71</v>
      </c>
      <c r="I628" s="7">
        <v>4225806.7300000004</v>
      </c>
      <c r="J628" s="7">
        <v>40000</v>
      </c>
      <c r="K628" s="7">
        <v>0</v>
      </c>
      <c r="L628" s="7">
        <v>986443.27</v>
      </c>
      <c r="M628" s="7">
        <v>5252250</v>
      </c>
      <c r="N628" s="7">
        <v>0</v>
      </c>
      <c r="O628" s="7">
        <v>5191806.7300000004</v>
      </c>
      <c r="P628" s="7">
        <v>1598547</v>
      </c>
      <c r="Q628" s="7">
        <v>3593259.73</v>
      </c>
      <c r="R628" s="7">
        <v>0</v>
      </c>
      <c r="S628" s="7">
        <v>60</v>
      </c>
      <c r="T628" s="7">
        <v>0</v>
      </c>
      <c r="U628" s="7">
        <v>0</v>
      </c>
      <c r="V628" s="9">
        <v>46189.853409826392</v>
      </c>
    </row>
    <row r="629" spans="1:22" x14ac:dyDescent="0.2">
      <c r="A629" s="8">
        <v>46071</v>
      </c>
      <c r="B629" s="7">
        <v>17</v>
      </c>
      <c r="C629" s="7">
        <v>2.9</v>
      </c>
      <c r="D629" s="7">
        <v>200113.69399999999</v>
      </c>
      <c r="E629" s="7">
        <v>-4</v>
      </c>
      <c r="F629" s="7">
        <v>4384285.71</v>
      </c>
      <c r="G629" s="7">
        <v>-460252.07</v>
      </c>
      <c r="H629" s="7">
        <v>-395168.07</v>
      </c>
      <c r="I629" s="7">
        <v>3528865.57</v>
      </c>
      <c r="J629" s="7">
        <v>36000</v>
      </c>
      <c r="K629" s="7">
        <v>0</v>
      </c>
      <c r="L629" s="7">
        <v>657184.43000000005</v>
      </c>
      <c r="M629" s="7">
        <v>4222050</v>
      </c>
      <c r="N629" s="7">
        <v>0</v>
      </c>
      <c r="O629" s="7">
        <v>3528865.57</v>
      </c>
      <c r="P629" s="7">
        <v>1440869</v>
      </c>
      <c r="Q629" s="7">
        <v>2087996.57</v>
      </c>
      <c r="R629" s="7">
        <v>0</v>
      </c>
      <c r="S629" s="7">
        <v>49</v>
      </c>
      <c r="T629" s="7">
        <v>0</v>
      </c>
      <c r="U629" s="7">
        <v>0</v>
      </c>
      <c r="V629" s="9">
        <v>46189.853409826392</v>
      </c>
    </row>
    <row r="630" spans="1:22" x14ac:dyDescent="0.2">
      <c r="A630" s="8">
        <v>46072</v>
      </c>
      <c r="B630" s="7">
        <v>21</v>
      </c>
      <c r="C630" s="7">
        <v>3.1</v>
      </c>
      <c r="D630" s="7">
        <v>197565.42499999999</v>
      </c>
      <c r="E630" s="7">
        <v>0</v>
      </c>
      <c r="F630" s="7">
        <v>4148873.93</v>
      </c>
      <c r="G630" s="7">
        <v>0</v>
      </c>
      <c r="H630" s="7">
        <v>0</v>
      </c>
      <c r="I630" s="7">
        <v>4148873.93</v>
      </c>
      <c r="J630" s="7">
        <v>44000</v>
      </c>
      <c r="K630" s="7">
        <v>0</v>
      </c>
      <c r="L630" s="7">
        <v>690626.07</v>
      </c>
      <c r="M630" s="7">
        <v>4883500</v>
      </c>
      <c r="N630" s="7">
        <v>0</v>
      </c>
      <c r="O630" s="7">
        <v>4148873.93</v>
      </c>
      <c r="P630" s="7">
        <v>1329526</v>
      </c>
      <c r="Q630" s="7">
        <v>2819347.93</v>
      </c>
      <c r="R630" s="7">
        <v>0</v>
      </c>
      <c r="S630" s="7">
        <v>65</v>
      </c>
      <c r="T630" s="7">
        <v>0</v>
      </c>
      <c r="U630" s="7">
        <v>0</v>
      </c>
      <c r="V630" s="9">
        <v>46189.853409826392</v>
      </c>
    </row>
    <row r="631" spans="1:22" x14ac:dyDescent="0.2">
      <c r="A631" s="8">
        <v>46073</v>
      </c>
      <c r="B631" s="7">
        <v>17</v>
      </c>
      <c r="C631" s="7">
        <v>1.9</v>
      </c>
      <c r="D631" s="7">
        <v>94966.88</v>
      </c>
      <c r="E631" s="7">
        <v>0</v>
      </c>
      <c r="F631" s="7">
        <v>1618638.65</v>
      </c>
      <c r="G631" s="7">
        <v>-4201.68</v>
      </c>
      <c r="H631" s="7">
        <v>0</v>
      </c>
      <c r="I631" s="7">
        <v>1614436.97</v>
      </c>
      <c r="J631" s="7">
        <v>25000</v>
      </c>
      <c r="K631" s="7">
        <v>0</v>
      </c>
      <c r="L631" s="7">
        <v>274063.03000000003</v>
      </c>
      <c r="M631" s="7">
        <v>1913500</v>
      </c>
      <c r="N631" s="7">
        <v>0</v>
      </c>
      <c r="O631" s="7">
        <v>1614436.97</v>
      </c>
      <c r="P631" s="7">
        <v>472759</v>
      </c>
      <c r="Q631" s="7">
        <v>1141677.97</v>
      </c>
      <c r="R631" s="7">
        <v>0</v>
      </c>
      <c r="S631" s="7">
        <v>32</v>
      </c>
      <c r="T631" s="7">
        <v>0</v>
      </c>
      <c r="U631" s="7">
        <v>0</v>
      </c>
      <c r="V631" s="9">
        <v>46189.853409826392</v>
      </c>
    </row>
    <row r="632" spans="1:22" x14ac:dyDescent="0.2">
      <c r="A632" s="8">
        <v>46074</v>
      </c>
      <c r="B632" s="7">
        <v>24</v>
      </c>
      <c r="C632" s="7">
        <v>2.2000000000000002</v>
      </c>
      <c r="D632" s="7">
        <v>126354.692</v>
      </c>
      <c r="E632" s="7">
        <v>0</v>
      </c>
      <c r="F632" s="7">
        <v>3032512.62</v>
      </c>
      <c r="G632" s="7">
        <v>0</v>
      </c>
      <c r="H632" s="7">
        <v>0</v>
      </c>
      <c r="I632" s="7">
        <v>3032512.62</v>
      </c>
      <c r="J632" s="7">
        <v>48000</v>
      </c>
      <c r="K632" s="7">
        <v>0</v>
      </c>
      <c r="L632" s="7">
        <v>480987.38</v>
      </c>
      <c r="M632" s="7">
        <v>3561500</v>
      </c>
      <c r="N632" s="7">
        <v>0</v>
      </c>
      <c r="O632" s="7">
        <v>3032512.62</v>
      </c>
      <c r="P632" s="7">
        <v>955607</v>
      </c>
      <c r="Q632" s="7">
        <v>2076905.62</v>
      </c>
      <c r="R632" s="7">
        <v>0</v>
      </c>
      <c r="S632" s="7">
        <v>54</v>
      </c>
      <c r="T632" s="7">
        <v>0</v>
      </c>
      <c r="U632" s="7">
        <v>0</v>
      </c>
      <c r="V632" s="9">
        <v>46189.853409826392</v>
      </c>
    </row>
    <row r="633" spans="1:22" x14ac:dyDescent="0.2">
      <c r="A633" s="8">
        <v>46075</v>
      </c>
      <c r="B633" s="7">
        <v>5</v>
      </c>
      <c r="C633" s="7">
        <v>1.4</v>
      </c>
      <c r="D633" s="7">
        <v>100840.336</v>
      </c>
      <c r="E633" s="7">
        <v>0</v>
      </c>
      <c r="F633" s="7">
        <v>504201.68</v>
      </c>
      <c r="G633" s="7">
        <v>0</v>
      </c>
      <c r="H633" s="7">
        <v>0</v>
      </c>
      <c r="I633" s="7">
        <v>504201.68</v>
      </c>
      <c r="J633" s="7">
        <v>52000</v>
      </c>
      <c r="K633" s="7">
        <v>0</v>
      </c>
      <c r="L633" s="7">
        <v>95798.32</v>
      </c>
      <c r="M633" s="7">
        <v>652000</v>
      </c>
      <c r="N633" s="7">
        <v>0</v>
      </c>
      <c r="O633" s="7">
        <v>504201.68</v>
      </c>
      <c r="P633" s="7">
        <v>91851</v>
      </c>
      <c r="Q633" s="7">
        <v>412350.68</v>
      </c>
      <c r="R633" s="7">
        <v>0</v>
      </c>
      <c r="S633" s="7">
        <v>7</v>
      </c>
      <c r="T633" s="7">
        <v>0</v>
      </c>
      <c r="U633" s="7">
        <v>0</v>
      </c>
      <c r="V633" s="9">
        <v>46189.853409826392</v>
      </c>
    </row>
    <row r="634" spans="1:22" x14ac:dyDescent="0.2">
      <c r="A634" s="8">
        <v>46076</v>
      </c>
      <c r="B634" s="7">
        <v>9</v>
      </c>
      <c r="C634" s="7">
        <v>3.8</v>
      </c>
      <c r="D634" s="7">
        <v>407913.16600000003</v>
      </c>
      <c r="E634" s="7">
        <v>0</v>
      </c>
      <c r="F634" s="7">
        <v>4138235.3</v>
      </c>
      <c r="G634" s="7">
        <v>-467016.8</v>
      </c>
      <c r="H634" s="7">
        <v>0</v>
      </c>
      <c r="I634" s="7">
        <v>3671218.5</v>
      </c>
      <c r="J634" s="7">
        <v>24000</v>
      </c>
      <c r="K634" s="7">
        <v>0</v>
      </c>
      <c r="L634" s="7">
        <v>697531.5</v>
      </c>
      <c r="M634" s="7">
        <v>4392750</v>
      </c>
      <c r="N634" s="7">
        <v>0</v>
      </c>
      <c r="O634" s="7">
        <v>3671218.5</v>
      </c>
      <c r="P634" s="7">
        <v>688665</v>
      </c>
      <c r="Q634" s="7">
        <v>2982553.5</v>
      </c>
      <c r="R634" s="7">
        <v>0</v>
      </c>
      <c r="S634" s="7">
        <v>34</v>
      </c>
      <c r="T634" s="7">
        <v>0</v>
      </c>
      <c r="U634" s="7">
        <v>0</v>
      </c>
      <c r="V634" s="9">
        <v>46189.853409826392</v>
      </c>
    </row>
    <row r="635" spans="1:22" x14ac:dyDescent="0.2">
      <c r="A635" s="8">
        <v>46077</v>
      </c>
      <c r="B635" s="7">
        <v>19</v>
      </c>
      <c r="C635" s="7">
        <v>1.6</v>
      </c>
      <c r="D635" s="7">
        <v>113104.37699999999</v>
      </c>
      <c r="E635" s="7">
        <v>0</v>
      </c>
      <c r="F635" s="7">
        <v>2148983.1800000002</v>
      </c>
      <c r="G635" s="7">
        <v>0</v>
      </c>
      <c r="H635" s="7">
        <v>0</v>
      </c>
      <c r="I635" s="7">
        <v>2148983.1800000002</v>
      </c>
      <c r="J635" s="7">
        <v>68000</v>
      </c>
      <c r="K635" s="7">
        <v>0</v>
      </c>
      <c r="L635" s="7">
        <v>372016.82</v>
      </c>
      <c r="M635" s="7">
        <v>2589000</v>
      </c>
      <c r="N635" s="7">
        <v>142857.14000000001</v>
      </c>
      <c r="O635" s="7">
        <v>2006126.04</v>
      </c>
      <c r="P635" s="7">
        <v>620380</v>
      </c>
      <c r="Q635" s="7">
        <v>1385746.04</v>
      </c>
      <c r="R635" s="7">
        <v>0</v>
      </c>
      <c r="S635" s="7">
        <v>31</v>
      </c>
      <c r="T635" s="7">
        <v>0</v>
      </c>
      <c r="U635" s="7">
        <v>0</v>
      </c>
      <c r="V635" s="9">
        <v>46189.853409826392</v>
      </c>
    </row>
    <row r="636" spans="1:22" x14ac:dyDescent="0.2">
      <c r="A636" s="8">
        <v>46078</v>
      </c>
      <c r="B636" s="7">
        <v>25</v>
      </c>
      <c r="C636" s="7">
        <v>2.2000000000000002</v>
      </c>
      <c r="D636" s="7">
        <v>176638.68900000001</v>
      </c>
      <c r="E636" s="7">
        <v>-1</v>
      </c>
      <c r="F636" s="7">
        <v>4580210.9400000004</v>
      </c>
      <c r="G636" s="7">
        <v>-55000</v>
      </c>
      <c r="H636" s="7">
        <v>-63025.21</v>
      </c>
      <c r="I636" s="7">
        <v>4462185.7300000004</v>
      </c>
      <c r="J636" s="7">
        <v>40000</v>
      </c>
      <c r="K636" s="7">
        <v>0</v>
      </c>
      <c r="L636" s="7">
        <v>847815.27</v>
      </c>
      <c r="M636" s="7">
        <v>5350001</v>
      </c>
      <c r="N636" s="7">
        <v>1008404.2</v>
      </c>
      <c r="O636" s="7">
        <v>3453781.53</v>
      </c>
      <c r="P636" s="7">
        <v>824483</v>
      </c>
      <c r="Q636" s="7">
        <v>2629298.5299999998</v>
      </c>
      <c r="R636" s="7">
        <v>0</v>
      </c>
      <c r="S636" s="7">
        <v>57</v>
      </c>
      <c r="T636" s="7">
        <v>0</v>
      </c>
      <c r="U636" s="7">
        <v>0</v>
      </c>
      <c r="V636" s="9">
        <v>46189.853409826392</v>
      </c>
    </row>
    <row r="637" spans="1:22" x14ac:dyDescent="0.2">
      <c r="A637" s="8">
        <v>46079</v>
      </c>
      <c r="B637" s="7">
        <v>17</v>
      </c>
      <c r="C637" s="7">
        <v>3.3</v>
      </c>
      <c r="D637" s="7">
        <v>195039.54500000001</v>
      </c>
      <c r="E637" s="7">
        <v>0</v>
      </c>
      <c r="F637" s="7">
        <v>3429957.94</v>
      </c>
      <c r="G637" s="7">
        <v>-114285.66</v>
      </c>
      <c r="H637" s="7">
        <v>0</v>
      </c>
      <c r="I637" s="7">
        <v>3315672.28</v>
      </c>
      <c r="J637" s="7">
        <v>52000</v>
      </c>
      <c r="K637" s="7">
        <v>0</v>
      </c>
      <c r="L637" s="7">
        <v>623327.72</v>
      </c>
      <c r="M637" s="7">
        <v>3991000</v>
      </c>
      <c r="N637" s="7">
        <v>0</v>
      </c>
      <c r="O637" s="7">
        <v>3315672.28</v>
      </c>
      <c r="P637" s="7">
        <v>962607</v>
      </c>
      <c r="Q637" s="7">
        <v>2353065.2799999998</v>
      </c>
      <c r="R637" s="7">
        <v>70000</v>
      </c>
      <c r="S637" s="7">
        <v>56</v>
      </c>
      <c r="T637" s="7">
        <v>0</v>
      </c>
      <c r="U637" s="7">
        <v>70000</v>
      </c>
      <c r="V637" s="9">
        <v>46189.853409826392</v>
      </c>
    </row>
    <row r="638" spans="1:22" x14ac:dyDescent="0.2">
      <c r="A638" s="8">
        <v>46080</v>
      </c>
      <c r="B638" s="7">
        <v>28</v>
      </c>
      <c r="C638" s="7">
        <v>2.1</v>
      </c>
      <c r="D638" s="7">
        <v>122584.034</v>
      </c>
      <c r="E638" s="7">
        <v>0</v>
      </c>
      <c r="F638" s="7">
        <v>3436554.65</v>
      </c>
      <c r="G638" s="7">
        <v>-4201.68</v>
      </c>
      <c r="H638" s="7">
        <v>0</v>
      </c>
      <c r="I638" s="7">
        <v>3432352.97</v>
      </c>
      <c r="J638" s="7">
        <v>48000</v>
      </c>
      <c r="K638" s="7">
        <v>0</v>
      </c>
      <c r="L638" s="7">
        <v>652147.03</v>
      </c>
      <c r="M638" s="7">
        <v>4132500</v>
      </c>
      <c r="N638" s="7">
        <v>0</v>
      </c>
      <c r="O638" s="7">
        <v>3432352.97</v>
      </c>
      <c r="P638" s="7">
        <v>900713</v>
      </c>
      <c r="Q638" s="7">
        <v>2531639.9700000002</v>
      </c>
      <c r="R638" s="7">
        <v>0</v>
      </c>
      <c r="S638" s="7">
        <v>59</v>
      </c>
      <c r="T638" s="7">
        <v>0</v>
      </c>
      <c r="U638" s="7">
        <v>0</v>
      </c>
      <c r="V638" s="9">
        <v>46189.853409826392</v>
      </c>
    </row>
    <row r="639" spans="1:22" x14ac:dyDescent="0.2">
      <c r="A639" s="8">
        <v>46081</v>
      </c>
      <c r="B639" s="7">
        <v>32</v>
      </c>
      <c r="C639" s="7">
        <v>14.8</v>
      </c>
      <c r="D639" s="7">
        <v>519688.68199999997</v>
      </c>
      <c r="E639" s="7">
        <v>0</v>
      </c>
      <c r="F639" s="7">
        <v>22228033.559999999</v>
      </c>
      <c r="G639" s="7">
        <v>-5597995.7300000004</v>
      </c>
      <c r="H639" s="7">
        <v>0</v>
      </c>
      <c r="I639" s="7">
        <v>16630037.83</v>
      </c>
      <c r="J639" s="7">
        <v>40000</v>
      </c>
      <c r="K639" s="7">
        <v>0</v>
      </c>
      <c r="L639" s="7">
        <v>3143747.17</v>
      </c>
      <c r="M639" s="7">
        <v>19813785</v>
      </c>
      <c r="N639" s="7">
        <v>285714.28000000003</v>
      </c>
      <c r="O639" s="7">
        <v>16344323.550000001</v>
      </c>
      <c r="P639" s="7">
        <v>6504475</v>
      </c>
      <c r="Q639" s="7">
        <v>9839848.5500000007</v>
      </c>
      <c r="R639" s="7">
        <v>0</v>
      </c>
      <c r="S639" s="7">
        <v>475</v>
      </c>
      <c r="T639" s="7">
        <v>0</v>
      </c>
      <c r="U639" s="7">
        <v>0</v>
      </c>
      <c r="V639" s="9">
        <v>46189.853409826392</v>
      </c>
    </row>
    <row r="640" spans="1:22" x14ac:dyDescent="0.2">
      <c r="A640" s="8">
        <v>46082</v>
      </c>
      <c r="B640" s="7">
        <v>14</v>
      </c>
      <c r="C640" s="7">
        <v>1.8</v>
      </c>
      <c r="D640" s="7">
        <v>78031.210000000006</v>
      </c>
      <c r="E640" s="7">
        <v>0</v>
      </c>
      <c r="F640" s="7">
        <v>1092436.95</v>
      </c>
      <c r="G640" s="7">
        <v>0</v>
      </c>
      <c r="H640" s="7">
        <v>0</v>
      </c>
      <c r="I640" s="7">
        <v>1092436.95</v>
      </c>
      <c r="J640" s="7">
        <v>0</v>
      </c>
      <c r="K640" s="7">
        <v>0</v>
      </c>
      <c r="L640" s="7">
        <v>207563.05</v>
      </c>
      <c r="M640" s="7">
        <v>1300000</v>
      </c>
      <c r="N640" s="7">
        <v>0</v>
      </c>
      <c r="O640" s="7">
        <v>1092436.95</v>
      </c>
      <c r="P640" s="7">
        <v>312819</v>
      </c>
      <c r="Q640" s="7">
        <v>779617.95</v>
      </c>
      <c r="R640" s="7">
        <v>0</v>
      </c>
      <c r="S640" s="7">
        <v>25</v>
      </c>
      <c r="T640" s="7">
        <v>0</v>
      </c>
      <c r="U640" s="7">
        <v>0</v>
      </c>
      <c r="V640" s="9">
        <v>46189.853409826392</v>
      </c>
    </row>
    <row r="641" spans="1:22" x14ac:dyDescent="0.2">
      <c r="A641" s="8">
        <v>46083</v>
      </c>
      <c r="B641" s="7">
        <v>28</v>
      </c>
      <c r="C641" s="7">
        <v>2.9</v>
      </c>
      <c r="D641" s="7">
        <v>143496.69899999999</v>
      </c>
      <c r="E641" s="7">
        <v>0</v>
      </c>
      <c r="F641" s="7">
        <v>4022109.27</v>
      </c>
      <c r="G641" s="7">
        <v>-4201.68</v>
      </c>
      <c r="H641" s="7">
        <v>0</v>
      </c>
      <c r="I641" s="7">
        <v>4017907.59</v>
      </c>
      <c r="J641" s="7">
        <v>68000</v>
      </c>
      <c r="K641" s="7">
        <v>0</v>
      </c>
      <c r="L641" s="7">
        <v>678092.41</v>
      </c>
      <c r="M641" s="7">
        <v>4764000</v>
      </c>
      <c r="N641" s="7">
        <v>0</v>
      </c>
      <c r="O641" s="7">
        <v>4017907.59</v>
      </c>
      <c r="P641" s="7">
        <v>1045598</v>
      </c>
      <c r="Q641" s="7">
        <v>2972309.59</v>
      </c>
      <c r="R641" s="7">
        <v>0</v>
      </c>
      <c r="S641" s="7">
        <v>82</v>
      </c>
      <c r="T641" s="7">
        <v>0</v>
      </c>
      <c r="U641" s="7">
        <v>0</v>
      </c>
      <c r="V641" s="9">
        <v>46189.853409826392</v>
      </c>
    </row>
    <row r="642" spans="1:22" x14ac:dyDescent="0.2">
      <c r="A642" s="8">
        <v>46084</v>
      </c>
      <c r="B642" s="7">
        <v>16</v>
      </c>
      <c r="C642" s="7">
        <v>2.6</v>
      </c>
      <c r="D642" s="7">
        <v>158752.625</v>
      </c>
      <c r="E642" s="7">
        <v>0</v>
      </c>
      <c r="F642" s="7">
        <v>2624075.6</v>
      </c>
      <c r="G642" s="7">
        <v>-84033.59</v>
      </c>
      <c r="H642" s="7">
        <v>0</v>
      </c>
      <c r="I642" s="7">
        <v>2540042.0099999998</v>
      </c>
      <c r="J642" s="7">
        <v>76000</v>
      </c>
      <c r="K642" s="7">
        <v>0</v>
      </c>
      <c r="L642" s="7">
        <v>475957.99</v>
      </c>
      <c r="M642" s="7">
        <v>3092000</v>
      </c>
      <c r="N642" s="7">
        <v>0</v>
      </c>
      <c r="O642" s="7">
        <v>2540042.0099999998</v>
      </c>
      <c r="P642" s="7">
        <v>765429</v>
      </c>
      <c r="Q642" s="7">
        <v>1774613.01</v>
      </c>
      <c r="R642" s="7">
        <v>0</v>
      </c>
      <c r="S642" s="7">
        <v>41</v>
      </c>
      <c r="T642" s="7">
        <v>0</v>
      </c>
      <c r="U642" s="7">
        <v>0</v>
      </c>
      <c r="V642" s="9">
        <v>46189.853409826392</v>
      </c>
    </row>
    <row r="643" spans="1:22" x14ac:dyDescent="0.2">
      <c r="A643" s="8">
        <v>46085</v>
      </c>
      <c r="B643" s="7">
        <v>22</v>
      </c>
      <c r="C643" s="7">
        <v>2.9</v>
      </c>
      <c r="D643" s="7">
        <v>184313.98</v>
      </c>
      <c r="E643" s="7">
        <v>0</v>
      </c>
      <c r="F643" s="7">
        <v>4068352.89</v>
      </c>
      <c r="G643" s="7">
        <v>-13445.32</v>
      </c>
      <c r="H643" s="7">
        <v>0</v>
      </c>
      <c r="I643" s="7">
        <v>4054907.57</v>
      </c>
      <c r="J643" s="7">
        <v>124000</v>
      </c>
      <c r="K643" s="7">
        <v>0</v>
      </c>
      <c r="L643" s="7">
        <v>735092.43</v>
      </c>
      <c r="M643" s="7">
        <v>4914000</v>
      </c>
      <c r="N643" s="7">
        <v>159663.87</v>
      </c>
      <c r="O643" s="7">
        <v>3895243.7</v>
      </c>
      <c r="P643" s="7">
        <v>1096062</v>
      </c>
      <c r="Q643" s="7">
        <v>2799181.7</v>
      </c>
      <c r="R643" s="7">
        <v>0</v>
      </c>
      <c r="S643" s="7">
        <v>64</v>
      </c>
      <c r="T643" s="7">
        <v>0</v>
      </c>
      <c r="U643" s="7">
        <v>0</v>
      </c>
      <c r="V643" s="9">
        <v>46189.853409826392</v>
      </c>
    </row>
    <row r="644" spans="1:22" x14ac:dyDescent="0.2">
      <c r="A644" s="8">
        <v>46086</v>
      </c>
      <c r="B644" s="7">
        <v>29</v>
      </c>
      <c r="C644" s="7">
        <v>93.3</v>
      </c>
      <c r="D644" s="7">
        <v>338112.28499999997</v>
      </c>
      <c r="E644" s="7">
        <v>0</v>
      </c>
      <c r="F644" s="7">
        <v>9851516.7799999993</v>
      </c>
      <c r="G644" s="7">
        <v>-46260.49</v>
      </c>
      <c r="H644" s="7">
        <v>0</v>
      </c>
      <c r="I644" s="7">
        <v>9805256.2899999991</v>
      </c>
      <c r="J644" s="7">
        <v>64000</v>
      </c>
      <c r="K644" s="7">
        <v>0</v>
      </c>
      <c r="L644" s="7">
        <v>1862998.71</v>
      </c>
      <c r="M644" s="7">
        <v>11732255</v>
      </c>
      <c r="N644" s="7">
        <v>29411.759999999998</v>
      </c>
      <c r="O644" s="7">
        <v>9775844.5299999993</v>
      </c>
      <c r="P644" s="7">
        <v>4366585</v>
      </c>
      <c r="Q644" s="7">
        <v>5409259.5300000003</v>
      </c>
      <c r="R644" s="7">
        <v>0</v>
      </c>
      <c r="S644" s="7">
        <v>2705</v>
      </c>
      <c r="T644" s="7">
        <v>0</v>
      </c>
      <c r="U644" s="7">
        <v>0</v>
      </c>
      <c r="V644" s="9">
        <v>46189.853409826392</v>
      </c>
    </row>
    <row r="645" spans="1:22" x14ac:dyDescent="0.2">
      <c r="A645" s="8">
        <v>46087</v>
      </c>
      <c r="B645" s="7">
        <v>25</v>
      </c>
      <c r="C645" s="7">
        <v>1.7</v>
      </c>
      <c r="D645" s="7">
        <v>113667.227</v>
      </c>
      <c r="E645" s="7">
        <v>0</v>
      </c>
      <c r="F645" s="7">
        <v>2850084.04</v>
      </c>
      <c r="G645" s="7">
        <v>-8403.36</v>
      </c>
      <c r="H645" s="7">
        <v>0</v>
      </c>
      <c r="I645" s="7">
        <v>2841680.68</v>
      </c>
      <c r="J645" s="7">
        <v>60000</v>
      </c>
      <c r="K645" s="7">
        <v>0</v>
      </c>
      <c r="L645" s="7">
        <v>513319.32</v>
      </c>
      <c r="M645" s="7">
        <v>3415000</v>
      </c>
      <c r="N645" s="7">
        <v>168067.23</v>
      </c>
      <c r="O645" s="7">
        <v>2673613.4500000002</v>
      </c>
      <c r="P645" s="7">
        <v>762396</v>
      </c>
      <c r="Q645" s="7">
        <v>1911217.45</v>
      </c>
      <c r="R645" s="7">
        <v>0</v>
      </c>
      <c r="S645" s="7">
        <v>42</v>
      </c>
      <c r="T645" s="7">
        <v>0</v>
      </c>
      <c r="U645" s="7">
        <v>0</v>
      </c>
      <c r="V645" s="9">
        <v>46189.853409826392</v>
      </c>
    </row>
    <row r="646" spans="1:22" x14ac:dyDescent="0.2">
      <c r="A646" s="8">
        <v>46088</v>
      </c>
      <c r="B646" s="7">
        <v>30</v>
      </c>
      <c r="C646" s="7">
        <v>2</v>
      </c>
      <c r="D646" s="7">
        <v>121376.19100000001</v>
      </c>
      <c r="E646" s="7">
        <v>0</v>
      </c>
      <c r="F646" s="7">
        <v>3651369.75</v>
      </c>
      <c r="G646" s="7">
        <v>-10084.02</v>
      </c>
      <c r="H646" s="7">
        <v>0</v>
      </c>
      <c r="I646" s="7">
        <v>3641285.73</v>
      </c>
      <c r="J646" s="7">
        <v>24000</v>
      </c>
      <c r="K646" s="7">
        <v>0</v>
      </c>
      <c r="L646" s="7">
        <v>648714.27</v>
      </c>
      <c r="M646" s="7">
        <v>4314000</v>
      </c>
      <c r="N646" s="7">
        <v>0</v>
      </c>
      <c r="O646" s="7">
        <v>3641285.73</v>
      </c>
      <c r="P646" s="7">
        <v>1049441</v>
      </c>
      <c r="Q646" s="7">
        <v>2591844.73</v>
      </c>
      <c r="R646" s="7">
        <v>0</v>
      </c>
      <c r="S646" s="7">
        <v>60</v>
      </c>
      <c r="T646" s="7">
        <v>0</v>
      </c>
      <c r="U646" s="7">
        <v>0</v>
      </c>
      <c r="V646" s="9">
        <v>46189.853409826392</v>
      </c>
    </row>
    <row r="647" spans="1:22" x14ac:dyDescent="0.2">
      <c r="A647" s="8">
        <v>46089</v>
      </c>
      <c r="B647" s="7">
        <v>13</v>
      </c>
      <c r="C647" s="7">
        <v>2.7</v>
      </c>
      <c r="D647" s="7">
        <v>153087.91099999999</v>
      </c>
      <c r="E647" s="7">
        <v>0</v>
      </c>
      <c r="F647" s="7">
        <v>1990142.85</v>
      </c>
      <c r="G647" s="7">
        <v>0</v>
      </c>
      <c r="H647" s="7">
        <v>0</v>
      </c>
      <c r="I647" s="7">
        <v>1990142.85</v>
      </c>
      <c r="J647" s="7">
        <v>48000</v>
      </c>
      <c r="K647" s="7">
        <v>0</v>
      </c>
      <c r="L647" s="7">
        <v>352857.15</v>
      </c>
      <c r="M647" s="7">
        <v>2391000</v>
      </c>
      <c r="N647" s="7">
        <v>0</v>
      </c>
      <c r="O647" s="7">
        <v>1990142.85</v>
      </c>
      <c r="P647" s="7">
        <v>508273</v>
      </c>
      <c r="Q647" s="7">
        <v>1481869.85</v>
      </c>
      <c r="R647" s="7">
        <v>0</v>
      </c>
      <c r="S647" s="7">
        <v>35</v>
      </c>
      <c r="T647" s="7">
        <v>0</v>
      </c>
      <c r="U647" s="7">
        <v>0</v>
      </c>
      <c r="V647" s="9">
        <v>46189.853409826392</v>
      </c>
    </row>
    <row r="648" spans="1:22" x14ac:dyDescent="0.2">
      <c r="A648" s="8">
        <v>46090</v>
      </c>
      <c r="B648" s="7">
        <v>15</v>
      </c>
      <c r="C648" s="7">
        <v>1.7</v>
      </c>
      <c r="D648" s="7">
        <v>135854.342</v>
      </c>
      <c r="E648" s="7">
        <v>0</v>
      </c>
      <c r="F648" s="7">
        <v>2054621.84</v>
      </c>
      <c r="G648" s="7">
        <v>-37815.11</v>
      </c>
      <c r="H648" s="7">
        <v>0</v>
      </c>
      <c r="I648" s="7">
        <v>2016806.73</v>
      </c>
      <c r="J648" s="7">
        <v>40000</v>
      </c>
      <c r="K648" s="7">
        <v>0</v>
      </c>
      <c r="L648" s="7">
        <v>383193.27</v>
      </c>
      <c r="M648" s="7">
        <v>2440000</v>
      </c>
      <c r="N648" s="7">
        <v>0</v>
      </c>
      <c r="O648" s="7">
        <v>2016806.73</v>
      </c>
      <c r="P648" s="7">
        <v>643793</v>
      </c>
      <c r="Q648" s="7">
        <v>1373013.73</v>
      </c>
      <c r="R648" s="7">
        <v>0</v>
      </c>
      <c r="S648" s="7">
        <v>26</v>
      </c>
      <c r="T648" s="7">
        <v>0</v>
      </c>
      <c r="U648" s="7">
        <v>0</v>
      </c>
      <c r="V648" s="9">
        <v>46189.853409826392</v>
      </c>
    </row>
    <row r="649" spans="1:22" x14ac:dyDescent="0.2">
      <c r="A649" s="8">
        <v>46091</v>
      </c>
      <c r="B649" s="7">
        <v>12</v>
      </c>
      <c r="C649" s="7">
        <v>1.7</v>
      </c>
      <c r="D649" s="7">
        <v>162230.391</v>
      </c>
      <c r="E649" s="7">
        <v>0</v>
      </c>
      <c r="F649" s="7">
        <v>1946764.7</v>
      </c>
      <c r="G649" s="7">
        <v>0</v>
      </c>
      <c r="H649" s="7">
        <v>0</v>
      </c>
      <c r="I649" s="7">
        <v>1946764.7</v>
      </c>
      <c r="J649" s="7">
        <v>56000</v>
      </c>
      <c r="K649" s="7">
        <v>0</v>
      </c>
      <c r="L649" s="7">
        <v>363235.3</v>
      </c>
      <c r="M649" s="7">
        <v>2366000</v>
      </c>
      <c r="N649" s="7">
        <v>0</v>
      </c>
      <c r="O649" s="7">
        <v>1946764.7</v>
      </c>
      <c r="P649" s="7">
        <v>611237</v>
      </c>
      <c r="Q649" s="7">
        <v>1335527.7</v>
      </c>
      <c r="R649" s="7">
        <v>285000</v>
      </c>
      <c r="S649" s="7">
        <v>20</v>
      </c>
      <c r="T649" s="7">
        <v>0</v>
      </c>
      <c r="U649" s="7">
        <v>285000</v>
      </c>
      <c r="V649" s="9">
        <v>46189.853409826392</v>
      </c>
    </row>
    <row r="650" spans="1:22" x14ac:dyDescent="0.2">
      <c r="A650" s="8">
        <v>46092</v>
      </c>
      <c r="B650" s="7">
        <v>33</v>
      </c>
      <c r="C650" s="7">
        <v>20.100000000000001</v>
      </c>
      <c r="D650" s="7">
        <v>825965.11300000001</v>
      </c>
      <c r="E650" s="7">
        <v>0</v>
      </c>
      <c r="F650" s="7">
        <v>35104957.990000002</v>
      </c>
      <c r="G650" s="7">
        <v>-7848109.2300000004</v>
      </c>
      <c r="H650" s="7">
        <v>0</v>
      </c>
      <c r="I650" s="7">
        <v>27256848.760000002</v>
      </c>
      <c r="J650" s="7">
        <v>88000</v>
      </c>
      <c r="K650" s="7">
        <v>0</v>
      </c>
      <c r="L650" s="7">
        <v>5153151.24</v>
      </c>
      <c r="M650" s="7">
        <v>32498000</v>
      </c>
      <c r="N650" s="7">
        <v>29411.759999999998</v>
      </c>
      <c r="O650" s="7">
        <v>27227437</v>
      </c>
      <c r="P650" s="7">
        <v>16863349</v>
      </c>
      <c r="Q650" s="7">
        <v>10364088</v>
      </c>
      <c r="R650" s="7">
        <v>0</v>
      </c>
      <c r="S650" s="7">
        <v>664</v>
      </c>
      <c r="T650" s="7">
        <v>0</v>
      </c>
      <c r="U650" s="7">
        <v>0</v>
      </c>
      <c r="V650" s="9">
        <v>46189.853409826392</v>
      </c>
    </row>
    <row r="651" spans="1:22" x14ac:dyDescent="0.2">
      <c r="A651" s="8">
        <v>46093</v>
      </c>
      <c r="B651" s="7">
        <v>35</v>
      </c>
      <c r="C651" s="7">
        <v>4.3</v>
      </c>
      <c r="D651" s="7">
        <v>165880.671</v>
      </c>
      <c r="E651" s="7">
        <v>0</v>
      </c>
      <c r="F651" s="7">
        <v>5815907.54</v>
      </c>
      <c r="G651" s="7">
        <v>-10084.030000000001</v>
      </c>
      <c r="H651" s="7">
        <v>0</v>
      </c>
      <c r="I651" s="7">
        <v>5805823.5099999998</v>
      </c>
      <c r="J651" s="7">
        <v>84000</v>
      </c>
      <c r="K651" s="7">
        <v>0</v>
      </c>
      <c r="L651" s="7">
        <v>1056176.49</v>
      </c>
      <c r="M651" s="7">
        <v>6946000</v>
      </c>
      <c r="N651" s="7">
        <v>0</v>
      </c>
      <c r="O651" s="7">
        <v>5805823.5099999998</v>
      </c>
      <c r="P651" s="7">
        <v>1896282</v>
      </c>
      <c r="Q651" s="7">
        <v>3909541.51</v>
      </c>
      <c r="R651" s="7">
        <v>0</v>
      </c>
      <c r="S651" s="7">
        <v>151</v>
      </c>
      <c r="T651" s="7">
        <v>0</v>
      </c>
      <c r="U651" s="7">
        <v>0</v>
      </c>
      <c r="V651" s="9">
        <v>46189.853409826392</v>
      </c>
    </row>
    <row r="652" spans="1:22" x14ac:dyDescent="0.2">
      <c r="A652" s="8">
        <v>46094</v>
      </c>
      <c r="B652" s="7">
        <v>16</v>
      </c>
      <c r="C652" s="7">
        <v>1.4</v>
      </c>
      <c r="D652" s="7">
        <v>98913.341</v>
      </c>
      <c r="E652" s="7">
        <v>0</v>
      </c>
      <c r="F652" s="7">
        <v>1582613.46</v>
      </c>
      <c r="G652" s="7">
        <v>0</v>
      </c>
      <c r="H652" s="7">
        <v>0</v>
      </c>
      <c r="I652" s="7">
        <v>1582613.46</v>
      </c>
      <c r="J652" s="7">
        <v>24000</v>
      </c>
      <c r="K652" s="7">
        <v>0</v>
      </c>
      <c r="L652" s="7">
        <v>291386.53999999998</v>
      </c>
      <c r="M652" s="7">
        <v>1898000</v>
      </c>
      <c r="N652" s="7">
        <v>0</v>
      </c>
      <c r="O652" s="7">
        <v>1582613.46</v>
      </c>
      <c r="P652" s="7">
        <v>362470</v>
      </c>
      <c r="Q652" s="7">
        <v>1220143.46</v>
      </c>
      <c r="R652" s="7">
        <v>300000</v>
      </c>
      <c r="S652" s="7">
        <v>22</v>
      </c>
      <c r="T652" s="7">
        <v>0</v>
      </c>
      <c r="U652" s="7">
        <v>300000</v>
      </c>
      <c r="V652" s="9">
        <v>46189.853409826392</v>
      </c>
    </row>
    <row r="653" spans="1:22" x14ac:dyDescent="0.2">
      <c r="A653" s="8">
        <v>46095</v>
      </c>
      <c r="B653" s="7">
        <v>32</v>
      </c>
      <c r="C653" s="7">
        <v>2.4</v>
      </c>
      <c r="D653" s="7">
        <v>143189.33799999999</v>
      </c>
      <c r="E653" s="7">
        <v>0</v>
      </c>
      <c r="F653" s="7">
        <v>4582058.83</v>
      </c>
      <c r="G653" s="7">
        <v>0</v>
      </c>
      <c r="H653" s="7">
        <v>0</v>
      </c>
      <c r="I653" s="7">
        <v>4582058.83</v>
      </c>
      <c r="J653" s="7">
        <v>64000</v>
      </c>
      <c r="K653" s="7">
        <v>0</v>
      </c>
      <c r="L653" s="7">
        <v>863941.17</v>
      </c>
      <c r="M653" s="7">
        <v>5510000</v>
      </c>
      <c r="N653" s="7">
        <v>368067.23</v>
      </c>
      <c r="O653" s="7">
        <v>4213991.5999999996</v>
      </c>
      <c r="P653" s="7">
        <v>1308058</v>
      </c>
      <c r="Q653" s="7">
        <v>2905933.6</v>
      </c>
      <c r="R653" s="7">
        <v>0</v>
      </c>
      <c r="S653" s="7">
        <v>76</v>
      </c>
      <c r="T653" s="7">
        <v>0</v>
      </c>
      <c r="U653" s="7">
        <v>0</v>
      </c>
      <c r="V653" s="9">
        <v>46189.853409826392</v>
      </c>
    </row>
    <row r="654" spans="1:22" x14ac:dyDescent="0.2">
      <c r="A654" s="8">
        <v>46096</v>
      </c>
      <c r="B654" s="7">
        <v>11</v>
      </c>
      <c r="C654" s="7">
        <v>3.7</v>
      </c>
      <c r="D654" s="7">
        <v>161191.75</v>
      </c>
      <c r="E654" s="7">
        <v>0</v>
      </c>
      <c r="F654" s="7">
        <v>1773109.25</v>
      </c>
      <c r="G654" s="7">
        <v>0</v>
      </c>
      <c r="H654" s="7">
        <v>0</v>
      </c>
      <c r="I654" s="7">
        <v>1773109.25</v>
      </c>
      <c r="J654" s="7">
        <v>12000</v>
      </c>
      <c r="K654" s="7">
        <v>0</v>
      </c>
      <c r="L654" s="7">
        <v>336890.75</v>
      </c>
      <c r="M654" s="7">
        <v>2122000</v>
      </c>
      <c r="N654" s="7">
        <v>0</v>
      </c>
      <c r="O654" s="7">
        <v>1773109.25</v>
      </c>
      <c r="P654" s="7">
        <v>358635</v>
      </c>
      <c r="Q654" s="7">
        <v>1414474.25</v>
      </c>
      <c r="R654" s="7">
        <v>0</v>
      </c>
      <c r="S654" s="7">
        <v>41</v>
      </c>
      <c r="T654" s="7">
        <v>0</v>
      </c>
      <c r="U654" s="7">
        <v>0</v>
      </c>
      <c r="V654" s="9">
        <v>46189.853409826392</v>
      </c>
    </row>
    <row r="655" spans="1:22" x14ac:dyDescent="0.2">
      <c r="A655" s="8">
        <v>46097</v>
      </c>
      <c r="B655" s="7">
        <v>20</v>
      </c>
      <c r="C655" s="7">
        <v>1.6</v>
      </c>
      <c r="D655" s="7">
        <v>98086.975000000006</v>
      </c>
      <c r="E655" s="7">
        <v>0</v>
      </c>
      <c r="F655" s="7">
        <v>1961739.5</v>
      </c>
      <c r="G655" s="7">
        <v>0</v>
      </c>
      <c r="H655" s="7">
        <v>0</v>
      </c>
      <c r="I655" s="7">
        <v>1961739.5</v>
      </c>
      <c r="J655" s="7">
        <v>28000</v>
      </c>
      <c r="K655" s="7">
        <v>0</v>
      </c>
      <c r="L655" s="7">
        <v>351260.5</v>
      </c>
      <c r="M655" s="7">
        <v>2341000</v>
      </c>
      <c r="N655" s="7">
        <v>0</v>
      </c>
      <c r="O655" s="7">
        <v>1961739.5</v>
      </c>
      <c r="P655" s="7">
        <v>605495</v>
      </c>
      <c r="Q655" s="7">
        <v>1356244.5</v>
      </c>
      <c r="R655" s="7">
        <v>0</v>
      </c>
      <c r="S655" s="7">
        <v>33</v>
      </c>
      <c r="T655" s="7">
        <v>0</v>
      </c>
      <c r="U655" s="7">
        <v>0</v>
      </c>
      <c r="V655" s="9">
        <v>46189.853409826392</v>
      </c>
    </row>
    <row r="656" spans="1:22" x14ac:dyDescent="0.2">
      <c r="A656" s="8">
        <v>46098</v>
      </c>
      <c r="B656" s="7">
        <v>28</v>
      </c>
      <c r="C656" s="7">
        <v>2.1</v>
      </c>
      <c r="D656" s="7">
        <v>150204.08100000001</v>
      </c>
      <c r="E656" s="7">
        <v>0</v>
      </c>
      <c r="F656" s="7">
        <v>4256134.46</v>
      </c>
      <c r="G656" s="7">
        <v>-50420.17</v>
      </c>
      <c r="H656" s="7">
        <v>0</v>
      </c>
      <c r="I656" s="7">
        <v>4205714.29</v>
      </c>
      <c r="J656" s="7">
        <v>72000</v>
      </c>
      <c r="K656" s="7">
        <v>0</v>
      </c>
      <c r="L656" s="7">
        <v>785785.71</v>
      </c>
      <c r="M656" s="7">
        <v>5063500</v>
      </c>
      <c r="N656" s="7">
        <v>168067.22</v>
      </c>
      <c r="O656" s="7">
        <v>4037647.07</v>
      </c>
      <c r="P656" s="7">
        <v>1320946</v>
      </c>
      <c r="Q656" s="7">
        <v>2716701.07</v>
      </c>
      <c r="R656" s="7">
        <v>0</v>
      </c>
      <c r="S656" s="7">
        <v>60</v>
      </c>
      <c r="T656" s="7">
        <v>0</v>
      </c>
      <c r="U656" s="7">
        <v>0</v>
      </c>
      <c r="V656" s="9">
        <v>46189.853409826392</v>
      </c>
    </row>
    <row r="657" spans="1:22" x14ac:dyDescent="0.2">
      <c r="A657" s="8">
        <v>46099</v>
      </c>
      <c r="B657" s="7">
        <v>13</v>
      </c>
      <c r="C657" s="7">
        <v>2.2000000000000002</v>
      </c>
      <c r="D657" s="7">
        <v>131286.35999999999</v>
      </c>
      <c r="E657" s="7">
        <v>0</v>
      </c>
      <c r="F657" s="7">
        <v>1706722.68</v>
      </c>
      <c r="G657" s="7">
        <v>0</v>
      </c>
      <c r="H657" s="7">
        <v>0</v>
      </c>
      <c r="I657" s="7">
        <v>1706722.68</v>
      </c>
      <c r="J657" s="7">
        <v>12000</v>
      </c>
      <c r="K657" s="7">
        <v>0</v>
      </c>
      <c r="L657" s="7">
        <v>324277.32</v>
      </c>
      <c r="M657" s="7">
        <v>2043000</v>
      </c>
      <c r="N657" s="7">
        <v>0</v>
      </c>
      <c r="O657" s="7">
        <v>1706722.68</v>
      </c>
      <c r="P657" s="7">
        <v>452636</v>
      </c>
      <c r="Q657" s="7">
        <v>1254086.68</v>
      </c>
      <c r="R657" s="7">
        <v>0</v>
      </c>
      <c r="S657" s="7">
        <v>29</v>
      </c>
      <c r="T657" s="7">
        <v>0</v>
      </c>
      <c r="U657" s="7">
        <v>0</v>
      </c>
      <c r="V657" s="9">
        <v>46189.853409826392</v>
      </c>
    </row>
    <row r="658" spans="1:22" x14ac:dyDescent="0.2">
      <c r="A658" s="8">
        <v>46100</v>
      </c>
      <c r="B658" s="7">
        <v>27</v>
      </c>
      <c r="C658" s="7">
        <v>4.3</v>
      </c>
      <c r="D658" s="7">
        <v>226157.79500000001</v>
      </c>
      <c r="E658" s="7">
        <v>0</v>
      </c>
      <c r="F658" s="7">
        <v>6535840.2699999996</v>
      </c>
      <c r="G658" s="7">
        <v>-429579.79</v>
      </c>
      <c r="H658" s="7">
        <v>0</v>
      </c>
      <c r="I658" s="7">
        <v>6106260.4800000004</v>
      </c>
      <c r="J658" s="7">
        <v>52000</v>
      </c>
      <c r="K658" s="7">
        <v>0</v>
      </c>
      <c r="L658" s="7">
        <v>1153539.52</v>
      </c>
      <c r="M658" s="7">
        <v>7311800</v>
      </c>
      <c r="N658" s="7">
        <v>364285.7</v>
      </c>
      <c r="O658" s="7">
        <v>5741974.7800000003</v>
      </c>
      <c r="P658" s="7">
        <v>1850331</v>
      </c>
      <c r="Q658" s="7">
        <v>3891643.78</v>
      </c>
      <c r="R658" s="7">
        <v>0</v>
      </c>
      <c r="S658" s="7">
        <v>117</v>
      </c>
      <c r="T658" s="7">
        <v>0</v>
      </c>
      <c r="U658" s="7">
        <v>0</v>
      </c>
      <c r="V658" s="9">
        <v>46189.853409826392</v>
      </c>
    </row>
    <row r="659" spans="1:22" x14ac:dyDescent="0.2">
      <c r="A659" s="8">
        <v>46101</v>
      </c>
      <c r="B659" s="7">
        <v>19</v>
      </c>
      <c r="C659" s="7">
        <v>2</v>
      </c>
      <c r="D659" s="7">
        <v>128925.253</v>
      </c>
      <c r="E659" s="7">
        <v>0</v>
      </c>
      <c r="F659" s="7">
        <v>2449579.8199999998</v>
      </c>
      <c r="G659" s="7">
        <v>0</v>
      </c>
      <c r="H659" s="7">
        <v>0</v>
      </c>
      <c r="I659" s="7">
        <v>2449579.8199999998</v>
      </c>
      <c r="J659" s="7">
        <v>44000</v>
      </c>
      <c r="K659" s="7">
        <v>0</v>
      </c>
      <c r="L659" s="7">
        <v>465420.18</v>
      </c>
      <c r="M659" s="7">
        <v>2959000</v>
      </c>
      <c r="N659" s="7">
        <v>0</v>
      </c>
      <c r="O659" s="7">
        <v>2449579.8199999998</v>
      </c>
      <c r="P659" s="7">
        <v>708347</v>
      </c>
      <c r="Q659" s="7">
        <v>1741232.82</v>
      </c>
      <c r="R659" s="7">
        <v>0</v>
      </c>
      <c r="S659" s="7">
        <v>38</v>
      </c>
      <c r="T659" s="7">
        <v>0</v>
      </c>
      <c r="U659" s="7">
        <v>0</v>
      </c>
      <c r="V659" s="9">
        <v>46189.853409826392</v>
      </c>
    </row>
    <row r="660" spans="1:22" x14ac:dyDescent="0.2">
      <c r="A660" s="8">
        <v>46102</v>
      </c>
      <c r="B660" s="7">
        <v>20</v>
      </c>
      <c r="C660" s="7">
        <v>3</v>
      </c>
      <c r="D660" s="7">
        <v>147018.068</v>
      </c>
      <c r="E660" s="7">
        <v>0</v>
      </c>
      <c r="F660" s="7">
        <v>3053806.75</v>
      </c>
      <c r="G660" s="7">
        <v>0</v>
      </c>
      <c r="H660" s="7">
        <v>0</v>
      </c>
      <c r="I660" s="7">
        <v>3053806.75</v>
      </c>
      <c r="J660" s="7">
        <v>16000</v>
      </c>
      <c r="K660" s="7">
        <v>0</v>
      </c>
      <c r="L660" s="7">
        <v>554193.25</v>
      </c>
      <c r="M660" s="7">
        <v>3624000</v>
      </c>
      <c r="N660" s="7">
        <v>84033.61</v>
      </c>
      <c r="O660" s="7">
        <v>2969773.14</v>
      </c>
      <c r="P660" s="7">
        <v>1003244</v>
      </c>
      <c r="Q660" s="7">
        <v>1966529.14</v>
      </c>
      <c r="R660" s="7">
        <v>0</v>
      </c>
      <c r="S660" s="7">
        <v>60</v>
      </c>
      <c r="T660" s="7">
        <v>0</v>
      </c>
      <c r="U660" s="7">
        <v>0</v>
      </c>
      <c r="V660" s="9">
        <v>46189.853409826392</v>
      </c>
    </row>
    <row r="661" spans="1:22" x14ac:dyDescent="0.2">
      <c r="A661" s="8">
        <v>46103</v>
      </c>
      <c r="B661" s="7">
        <v>9</v>
      </c>
      <c r="C661" s="7">
        <v>1.3</v>
      </c>
      <c r="D661" s="7">
        <v>56554.622000000003</v>
      </c>
      <c r="E661" s="7">
        <v>0</v>
      </c>
      <c r="F661" s="7">
        <v>508991.6</v>
      </c>
      <c r="G661" s="7">
        <v>0</v>
      </c>
      <c r="H661" s="7">
        <v>0</v>
      </c>
      <c r="I661" s="7">
        <v>508991.6</v>
      </c>
      <c r="J661" s="7">
        <v>12000</v>
      </c>
      <c r="K661" s="7">
        <v>0</v>
      </c>
      <c r="L661" s="7">
        <v>91008.4</v>
      </c>
      <c r="M661" s="7">
        <v>612000</v>
      </c>
      <c r="N661" s="7">
        <v>0</v>
      </c>
      <c r="O661" s="7">
        <v>508991.6</v>
      </c>
      <c r="P661" s="7">
        <v>171693</v>
      </c>
      <c r="Q661" s="7">
        <v>337298.6</v>
      </c>
      <c r="R661" s="7">
        <v>0</v>
      </c>
      <c r="S661" s="7">
        <v>12</v>
      </c>
      <c r="T661" s="7">
        <v>0</v>
      </c>
      <c r="U661" s="7">
        <v>0</v>
      </c>
      <c r="V661" s="9">
        <v>46189.853409826392</v>
      </c>
    </row>
    <row r="662" spans="1:22" x14ac:dyDescent="0.2">
      <c r="A662" s="8">
        <v>46104</v>
      </c>
      <c r="B662" s="7">
        <v>8</v>
      </c>
      <c r="C662" s="7">
        <v>2.6</v>
      </c>
      <c r="D662" s="7">
        <v>157037.815</v>
      </c>
      <c r="E662" s="7">
        <v>0</v>
      </c>
      <c r="F662" s="7">
        <v>1256302.52</v>
      </c>
      <c r="G662" s="7">
        <v>0</v>
      </c>
      <c r="H662" s="7">
        <v>0</v>
      </c>
      <c r="I662" s="7">
        <v>1256302.52</v>
      </c>
      <c r="J662" s="7">
        <v>28000</v>
      </c>
      <c r="K662" s="7">
        <v>0</v>
      </c>
      <c r="L662" s="7">
        <v>238697.48</v>
      </c>
      <c r="M662" s="7">
        <v>1523000</v>
      </c>
      <c r="N662" s="7">
        <v>0</v>
      </c>
      <c r="O662" s="7">
        <v>1256302.52</v>
      </c>
      <c r="P662" s="7">
        <v>313285</v>
      </c>
      <c r="Q662" s="7">
        <v>943017.52</v>
      </c>
      <c r="R662" s="7">
        <v>0</v>
      </c>
      <c r="S662" s="7">
        <v>21</v>
      </c>
      <c r="T662" s="7">
        <v>0</v>
      </c>
      <c r="U662" s="7">
        <v>0</v>
      </c>
      <c r="V662" s="9">
        <v>46189.853409826392</v>
      </c>
    </row>
    <row r="663" spans="1:22" x14ac:dyDescent="0.2">
      <c r="A663" s="8">
        <v>46105</v>
      </c>
      <c r="B663" s="7">
        <v>13</v>
      </c>
      <c r="C663" s="7">
        <v>2.2999999999999998</v>
      </c>
      <c r="D663" s="7">
        <v>142921.785</v>
      </c>
      <c r="E663" s="7">
        <v>0</v>
      </c>
      <c r="F663" s="7">
        <v>2039495.8</v>
      </c>
      <c r="G663" s="7">
        <v>-181512.59</v>
      </c>
      <c r="H663" s="7">
        <v>0</v>
      </c>
      <c r="I663" s="7">
        <v>1857983.21</v>
      </c>
      <c r="J663" s="7">
        <v>56000</v>
      </c>
      <c r="K663" s="7">
        <v>0</v>
      </c>
      <c r="L663" s="7">
        <v>353016.79</v>
      </c>
      <c r="M663" s="7">
        <v>2267000</v>
      </c>
      <c r="N663" s="7">
        <v>71428.570000000007</v>
      </c>
      <c r="O663" s="7">
        <v>1786554.64</v>
      </c>
      <c r="P663" s="7">
        <v>544861</v>
      </c>
      <c r="Q663" s="7">
        <v>1241693.6399999999</v>
      </c>
      <c r="R663" s="7">
        <v>0</v>
      </c>
      <c r="S663" s="7">
        <v>30</v>
      </c>
      <c r="T663" s="7">
        <v>0</v>
      </c>
      <c r="U663" s="7">
        <v>0</v>
      </c>
      <c r="V663" s="9">
        <v>46189.853409826392</v>
      </c>
    </row>
    <row r="664" spans="1:22" x14ac:dyDescent="0.2">
      <c r="A664" s="8">
        <v>46106</v>
      </c>
      <c r="B664" s="7">
        <v>20</v>
      </c>
      <c r="C664" s="7">
        <v>2.2000000000000002</v>
      </c>
      <c r="D664" s="7">
        <v>146378.99100000001</v>
      </c>
      <c r="E664" s="7">
        <v>0</v>
      </c>
      <c r="F664" s="7">
        <v>2927579.82</v>
      </c>
      <c r="G664" s="7">
        <v>0</v>
      </c>
      <c r="H664" s="7">
        <v>0</v>
      </c>
      <c r="I664" s="7">
        <v>2927579.82</v>
      </c>
      <c r="J664" s="7">
        <v>76000</v>
      </c>
      <c r="K664" s="7">
        <v>0</v>
      </c>
      <c r="L664" s="7">
        <v>541420.18000000005</v>
      </c>
      <c r="M664" s="7">
        <v>3545000</v>
      </c>
      <c r="N664" s="7">
        <v>159663.87</v>
      </c>
      <c r="O664" s="7">
        <v>2767915.95</v>
      </c>
      <c r="P664" s="7">
        <v>750999</v>
      </c>
      <c r="Q664" s="7">
        <v>2016916.95</v>
      </c>
      <c r="R664" s="7">
        <v>230000</v>
      </c>
      <c r="S664" s="7">
        <v>45</v>
      </c>
      <c r="T664" s="7">
        <v>0</v>
      </c>
      <c r="U664" s="7">
        <v>230000</v>
      </c>
      <c r="V664" s="9">
        <v>46189.853409826392</v>
      </c>
    </row>
    <row r="665" spans="1:22" x14ac:dyDescent="0.2">
      <c r="A665" s="8">
        <v>46107</v>
      </c>
      <c r="B665" s="7">
        <v>20</v>
      </c>
      <c r="C665" s="7">
        <v>1.9</v>
      </c>
      <c r="D665" s="7">
        <v>109523.11</v>
      </c>
      <c r="E665" s="7">
        <v>0</v>
      </c>
      <c r="F665" s="7">
        <v>2190462.2000000002</v>
      </c>
      <c r="G665" s="7">
        <v>0</v>
      </c>
      <c r="H665" s="7">
        <v>0</v>
      </c>
      <c r="I665" s="7">
        <v>2190462.2000000002</v>
      </c>
      <c r="J665" s="7">
        <v>16000</v>
      </c>
      <c r="K665" s="7">
        <v>0</v>
      </c>
      <c r="L665" s="7">
        <v>409537.8</v>
      </c>
      <c r="M665" s="7">
        <v>2616000</v>
      </c>
      <c r="N665" s="7">
        <v>0</v>
      </c>
      <c r="O665" s="7">
        <v>2190462.2000000002</v>
      </c>
      <c r="P665" s="7">
        <v>504534</v>
      </c>
      <c r="Q665" s="7">
        <v>1685928.2</v>
      </c>
      <c r="R665" s="7">
        <v>0</v>
      </c>
      <c r="S665" s="7">
        <v>38</v>
      </c>
      <c r="T665" s="7">
        <v>0</v>
      </c>
      <c r="U665" s="7">
        <v>0</v>
      </c>
      <c r="V665" s="9">
        <v>46189.853409826392</v>
      </c>
    </row>
    <row r="666" spans="1:22" x14ac:dyDescent="0.2">
      <c r="A666" s="8">
        <v>46108</v>
      </c>
      <c r="B666" s="7">
        <v>22</v>
      </c>
      <c r="C666" s="7">
        <v>2</v>
      </c>
      <c r="D666" s="7">
        <v>126621.466</v>
      </c>
      <c r="E666" s="7">
        <v>0</v>
      </c>
      <c r="F666" s="7">
        <v>2785672.27</v>
      </c>
      <c r="G666" s="7">
        <v>0</v>
      </c>
      <c r="H666" s="7">
        <v>0</v>
      </c>
      <c r="I666" s="7">
        <v>2785672.27</v>
      </c>
      <c r="J666" s="7">
        <v>90000</v>
      </c>
      <c r="K666" s="7">
        <v>0</v>
      </c>
      <c r="L666" s="7">
        <v>509327.73</v>
      </c>
      <c r="M666" s="7">
        <v>3385000</v>
      </c>
      <c r="N666" s="7">
        <v>0</v>
      </c>
      <c r="O666" s="7">
        <v>2785672.27</v>
      </c>
      <c r="P666" s="7">
        <v>798919</v>
      </c>
      <c r="Q666" s="7">
        <v>1986753.27</v>
      </c>
      <c r="R666" s="7">
        <v>0</v>
      </c>
      <c r="S666" s="7">
        <v>44</v>
      </c>
      <c r="T666" s="7">
        <v>0</v>
      </c>
      <c r="U666" s="7">
        <v>0</v>
      </c>
      <c r="V666" s="9">
        <v>46189.853409826392</v>
      </c>
    </row>
    <row r="667" spans="1:22" x14ac:dyDescent="0.2">
      <c r="A667" s="8">
        <v>46109</v>
      </c>
      <c r="B667" s="7">
        <v>29</v>
      </c>
      <c r="C667" s="7">
        <v>2.9</v>
      </c>
      <c r="D667" s="7">
        <v>195264.56099999999</v>
      </c>
      <c r="E667" s="7">
        <v>-1</v>
      </c>
      <c r="F667" s="7">
        <v>5804689.04</v>
      </c>
      <c r="G667" s="7">
        <v>-142016.76999999999</v>
      </c>
      <c r="H667" s="7">
        <v>-113445.38</v>
      </c>
      <c r="I667" s="7">
        <v>5549226.8899999997</v>
      </c>
      <c r="J667" s="7">
        <v>28000</v>
      </c>
      <c r="K667" s="7">
        <v>0</v>
      </c>
      <c r="L667" s="7">
        <v>896273.11</v>
      </c>
      <c r="M667" s="7">
        <v>6473500</v>
      </c>
      <c r="N667" s="7">
        <v>71428.570000000007</v>
      </c>
      <c r="O667" s="7">
        <v>5477798.3200000003</v>
      </c>
      <c r="P667" s="7">
        <v>1552848</v>
      </c>
      <c r="Q667" s="7">
        <v>3924950.32</v>
      </c>
      <c r="R667" s="7">
        <v>0</v>
      </c>
      <c r="S667" s="7">
        <v>82</v>
      </c>
      <c r="T667" s="7">
        <v>0</v>
      </c>
      <c r="U667" s="7">
        <v>0</v>
      </c>
      <c r="V667" s="9">
        <v>46189.853409826392</v>
      </c>
    </row>
    <row r="668" spans="1:22" x14ac:dyDescent="0.2">
      <c r="A668" s="8">
        <v>46110</v>
      </c>
      <c r="B668" s="7">
        <v>10</v>
      </c>
      <c r="C668" s="7">
        <v>3.6</v>
      </c>
      <c r="D668" s="7">
        <v>228823.52900000001</v>
      </c>
      <c r="E668" s="7">
        <v>0</v>
      </c>
      <c r="F668" s="7">
        <v>2288235.29</v>
      </c>
      <c r="G668" s="7">
        <v>0</v>
      </c>
      <c r="H668" s="7">
        <v>0</v>
      </c>
      <c r="I668" s="7">
        <v>2288235.29</v>
      </c>
      <c r="J668" s="7">
        <v>0</v>
      </c>
      <c r="K668" s="7">
        <v>0</v>
      </c>
      <c r="L668" s="7">
        <v>434764.71</v>
      </c>
      <c r="M668" s="7">
        <v>2723000</v>
      </c>
      <c r="N668" s="7">
        <v>0</v>
      </c>
      <c r="O668" s="7">
        <v>2288235.29</v>
      </c>
      <c r="P668" s="7">
        <v>658555</v>
      </c>
      <c r="Q668" s="7">
        <v>1629680.29</v>
      </c>
      <c r="R668" s="7">
        <v>0</v>
      </c>
      <c r="S668" s="7">
        <v>36</v>
      </c>
      <c r="T668" s="7">
        <v>0</v>
      </c>
      <c r="U668" s="7">
        <v>0</v>
      </c>
      <c r="V668" s="9">
        <v>46189.853409826392</v>
      </c>
    </row>
    <row r="669" spans="1:22" x14ac:dyDescent="0.2">
      <c r="A669" s="8">
        <v>46111</v>
      </c>
      <c r="B669" s="7">
        <v>10</v>
      </c>
      <c r="C669" s="7">
        <v>3.6</v>
      </c>
      <c r="D669" s="7">
        <v>238235.29399999999</v>
      </c>
      <c r="E669" s="7">
        <v>0</v>
      </c>
      <c r="F669" s="7">
        <v>2382352.94</v>
      </c>
      <c r="G669" s="7">
        <v>0</v>
      </c>
      <c r="H669" s="7">
        <v>0</v>
      </c>
      <c r="I669" s="7">
        <v>2382352.94</v>
      </c>
      <c r="J669" s="7">
        <v>48000</v>
      </c>
      <c r="K669" s="7">
        <v>0</v>
      </c>
      <c r="L669" s="7">
        <v>452647.06</v>
      </c>
      <c r="M669" s="7">
        <v>2883000</v>
      </c>
      <c r="N669" s="7">
        <v>0</v>
      </c>
      <c r="O669" s="7">
        <v>2382352.94</v>
      </c>
      <c r="P669" s="7">
        <v>648284</v>
      </c>
      <c r="Q669" s="7">
        <v>1734068.94</v>
      </c>
      <c r="R669" s="7">
        <v>0</v>
      </c>
      <c r="S669" s="7">
        <v>36</v>
      </c>
      <c r="T669" s="7">
        <v>0</v>
      </c>
      <c r="U669" s="7">
        <v>0</v>
      </c>
      <c r="V669" s="9">
        <v>46189.853409826392</v>
      </c>
    </row>
    <row r="670" spans="1:22" x14ac:dyDescent="0.2">
      <c r="A670" s="8">
        <v>46112</v>
      </c>
      <c r="B670" s="7">
        <v>14</v>
      </c>
      <c r="C670" s="7">
        <v>5.3</v>
      </c>
      <c r="D670" s="7">
        <v>180023.40900000001</v>
      </c>
      <c r="E670" s="7">
        <v>0</v>
      </c>
      <c r="F670" s="7">
        <v>2520327.73</v>
      </c>
      <c r="G670" s="7">
        <v>0</v>
      </c>
      <c r="H670" s="7">
        <v>0</v>
      </c>
      <c r="I670" s="7">
        <v>2520327.73</v>
      </c>
      <c r="J670" s="7">
        <v>64000</v>
      </c>
      <c r="K670" s="7">
        <v>0</v>
      </c>
      <c r="L670" s="7">
        <v>456822.27</v>
      </c>
      <c r="M670" s="7">
        <v>3041150</v>
      </c>
      <c r="N670" s="7">
        <v>0</v>
      </c>
      <c r="O670" s="7">
        <v>2520327.73</v>
      </c>
      <c r="P670" s="7">
        <v>470874</v>
      </c>
      <c r="Q670" s="7">
        <v>2049453.73</v>
      </c>
      <c r="R670" s="7">
        <v>0</v>
      </c>
      <c r="S670" s="7">
        <v>74</v>
      </c>
      <c r="T670" s="7">
        <v>0</v>
      </c>
      <c r="U670" s="7">
        <v>0</v>
      </c>
      <c r="V670" s="9">
        <v>46189.853409826392</v>
      </c>
    </row>
    <row r="671" spans="1:22" x14ac:dyDescent="0.2">
      <c r="A671" s="8">
        <v>46113</v>
      </c>
      <c r="B671" s="7">
        <v>17</v>
      </c>
      <c r="C671" s="7">
        <v>1.5</v>
      </c>
      <c r="D671" s="7">
        <v>99140.385999999999</v>
      </c>
      <c r="E671" s="7">
        <v>0</v>
      </c>
      <c r="F671" s="7">
        <v>1685386.57</v>
      </c>
      <c r="G671" s="7">
        <v>0</v>
      </c>
      <c r="H671" s="7">
        <v>0</v>
      </c>
      <c r="I671" s="7">
        <v>1685386.57</v>
      </c>
      <c r="J671" s="7">
        <v>12000</v>
      </c>
      <c r="K671" s="7">
        <v>0</v>
      </c>
      <c r="L671" s="7">
        <v>288113.43</v>
      </c>
      <c r="M671" s="7">
        <v>1985500</v>
      </c>
      <c r="N671" s="7">
        <v>0</v>
      </c>
      <c r="O671" s="7">
        <v>1685386.57</v>
      </c>
      <c r="P671" s="7">
        <v>469452</v>
      </c>
      <c r="Q671" s="7">
        <v>1215934.57</v>
      </c>
      <c r="R671" s="7">
        <v>0</v>
      </c>
      <c r="S671" s="7">
        <v>25</v>
      </c>
      <c r="T671" s="7">
        <v>0</v>
      </c>
      <c r="U671" s="7">
        <v>0</v>
      </c>
      <c r="V671" s="9">
        <v>46189.853409826392</v>
      </c>
    </row>
    <row r="672" spans="1:22" x14ac:dyDescent="0.2">
      <c r="A672" s="8">
        <v>46114</v>
      </c>
      <c r="B672" s="7">
        <v>13</v>
      </c>
      <c r="C672" s="7">
        <v>1.5</v>
      </c>
      <c r="D672" s="7">
        <v>88061.409</v>
      </c>
      <c r="E672" s="7">
        <v>0</v>
      </c>
      <c r="F672" s="7">
        <v>1144798.32</v>
      </c>
      <c r="G672" s="7">
        <v>0</v>
      </c>
      <c r="H672" s="7">
        <v>0</v>
      </c>
      <c r="I672" s="7">
        <v>1144798.32</v>
      </c>
      <c r="J672" s="7">
        <v>48000</v>
      </c>
      <c r="K672" s="7">
        <v>0</v>
      </c>
      <c r="L672" s="7">
        <v>189201.68</v>
      </c>
      <c r="M672" s="7">
        <v>1382000</v>
      </c>
      <c r="N672" s="7">
        <v>0</v>
      </c>
      <c r="O672" s="7">
        <v>1144798.32</v>
      </c>
      <c r="P672" s="7">
        <v>390300</v>
      </c>
      <c r="Q672" s="7">
        <v>754498.32</v>
      </c>
      <c r="R672" s="7">
        <v>0</v>
      </c>
      <c r="S672" s="7">
        <v>19</v>
      </c>
      <c r="T672" s="7">
        <v>0</v>
      </c>
      <c r="U672" s="7">
        <v>0</v>
      </c>
      <c r="V672" s="9">
        <v>46189.853409826392</v>
      </c>
    </row>
    <row r="673" spans="1:22" x14ac:dyDescent="0.2">
      <c r="A673" s="8">
        <v>46116</v>
      </c>
      <c r="B673" s="7">
        <v>8</v>
      </c>
      <c r="C673" s="7">
        <v>1.5</v>
      </c>
      <c r="D673" s="7">
        <v>73488.445999999996</v>
      </c>
      <c r="E673" s="7">
        <v>-1</v>
      </c>
      <c r="F673" s="7">
        <v>617319.32999999996</v>
      </c>
      <c r="G673" s="7">
        <v>0</v>
      </c>
      <c r="H673" s="7">
        <v>-46218.49</v>
      </c>
      <c r="I673" s="7">
        <v>571100.84</v>
      </c>
      <c r="J673" s="7">
        <v>28000</v>
      </c>
      <c r="K673" s="7">
        <v>0</v>
      </c>
      <c r="L673" s="7">
        <v>85899.16</v>
      </c>
      <c r="M673" s="7">
        <v>685000</v>
      </c>
      <c r="N673" s="7">
        <v>0</v>
      </c>
      <c r="O673" s="7">
        <v>571100.84</v>
      </c>
      <c r="P673" s="7">
        <v>179120</v>
      </c>
      <c r="Q673" s="7">
        <v>391980.84</v>
      </c>
      <c r="R673" s="7">
        <v>0</v>
      </c>
      <c r="S673" s="7">
        <v>12</v>
      </c>
      <c r="T673" s="7">
        <v>0</v>
      </c>
      <c r="U673" s="7">
        <v>0</v>
      </c>
      <c r="V673" s="9">
        <v>46189.853409826392</v>
      </c>
    </row>
    <row r="674" spans="1:22" x14ac:dyDescent="0.2">
      <c r="A674" s="8">
        <v>46117</v>
      </c>
      <c r="B674" s="7">
        <v>3</v>
      </c>
      <c r="C674" s="7">
        <v>2.2999999999999998</v>
      </c>
      <c r="D674" s="7">
        <v>233893.55600000001</v>
      </c>
      <c r="E674" s="7">
        <v>0</v>
      </c>
      <c r="F674" s="7">
        <v>701680.67</v>
      </c>
      <c r="G674" s="7">
        <v>0</v>
      </c>
      <c r="H674" s="7">
        <v>0</v>
      </c>
      <c r="I674" s="7">
        <v>701680.67</v>
      </c>
      <c r="J674" s="7">
        <v>44000</v>
      </c>
      <c r="K674" s="7">
        <v>0</v>
      </c>
      <c r="L674" s="7">
        <v>133319.32999999999</v>
      </c>
      <c r="M674" s="7">
        <v>879000</v>
      </c>
      <c r="N674" s="7">
        <v>0</v>
      </c>
      <c r="O674" s="7">
        <v>701680.67</v>
      </c>
      <c r="P674" s="7">
        <v>219239</v>
      </c>
      <c r="Q674" s="7">
        <v>482441.67</v>
      </c>
      <c r="R674" s="7">
        <v>0</v>
      </c>
      <c r="S674" s="7">
        <v>7</v>
      </c>
      <c r="T674" s="7">
        <v>0</v>
      </c>
      <c r="U674" s="7">
        <v>0</v>
      </c>
      <c r="V674" s="9">
        <v>46189.853409826392</v>
      </c>
    </row>
    <row r="675" spans="1:22" x14ac:dyDescent="0.2">
      <c r="A675" s="8">
        <v>46118</v>
      </c>
      <c r="B675" s="7">
        <v>19</v>
      </c>
      <c r="C675" s="7">
        <v>1.7</v>
      </c>
      <c r="D675" s="7">
        <v>105188.414</v>
      </c>
      <c r="E675" s="7">
        <v>-5</v>
      </c>
      <c r="F675" s="7">
        <v>2771689.11</v>
      </c>
      <c r="G675" s="7">
        <v>0</v>
      </c>
      <c r="H675" s="7">
        <v>-726890.75</v>
      </c>
      <c r="I675" s="7">
        <v>2044798.36</v>
      </c>
      <c r="J675" s="7">
        <v>40000</v>
      </c>
      <c r="K675" s="7">
        <v>0</v>
      </c>
      <c r="L675" s="7">
        <v>379201.64</v>
      </c>
      <c r="M675" s="7">
        <v>2464000</v>
      </c>
      <c r="N675" s="7">
        <v>0</v>
      </c>
      <c r="O675" s="7">
        <v>2044798.36</v>
      </c>
      <c r="P675" s="7">
        <v>727912</v>
      </c>
      <c r="Q675" s="7">
        <v>1316886.3600000001</v>
      </c>
      <c r="R675" s="7">
        <v>0</v>
      </c>
      <c r="S675" s="7">
        <v>33</v>
      </c>
      <c r="T675" s="7">
        <v>0</v>
      </c>
      <c r="U675" s="7">
        <v>0</v>
      </c>
      <c r="V675" s="9">
        <v>46189.853409826392</v>
      </c>
    </row>
    <row r="676" spans="1:22" x14ac:dyDescent="0.2">
      <c r="A676" s="8">
        <v>46119</v>
      </c>
      <c r="B676" s="7">
        <v>21</v>
      </c>
      <c r="C676" s="7">
        <v>2</v>
      </c>
      <c r="D676" s="7">
        <v>148499.4</v>
      </c>
      <c r="E676" s="7">
        <v>-1</v>
      </c>
      <c r="F676" s="7">
        <v>3181512.61</v>
      </c>
      <c r="G676" s="7">
        <v>0</v>
      </c>
      <c r="H676" s="7">
        <v>-63025.21</v>
      </c>
      <c r="I676" s="7">
        <v>3118487.4</v>
      </c>
      <c r="J676" s="7">
        <v>72000</v>
      </c>
      <c r="K676" s="7">
        <v>0</v>
      </c>
      <c r="L676" s="7">
        <v>592512.6</v>
      </c>
      <c r="M676" s="7">
        <v>3783000</v>
      </c>
      <c r="N676" s="7">
        <v>0</v>
      </c>
      <c r="O676" s="7">
        <v>3118487.4</v>
      </c>
      <c r="P676" s="7">
        <v>977460</v>
      </c>
      <c r="Q676" s="7">
        <v>2141027.4</v>
      </c>
      <c r="R676" s="7">
        <v>0</v>
      </c>
      <c r="S676" s="7">
        <v>42</v>
      </c>
      <c r="T676" s="7">
        <v>0</v>
      </c>
      <c r="U676" s="7">
        <v>0</v>
      </c>
      <c r="V676" s="9">
        <v>46189.853409826392</v>
      </c>
    </row>
    <row r="677" spans="1:22" x14ac:dyDescent="0.2">
      <c r="A677" s="8">
        <v>46120</v>
      </c>
      <c r="B677" s="7">
        <v>22</v>
      </c>
      <c r="C677" s="7">
        <v>1.6</v>
      </c>
      <c r="D677" s="7">
        <v>101222.307</v>
      </c>
      <c r="E677" s="7">
        <v>0</v>
      </c>
      <c r="F677" s="7">
        <v>2231092.44</v>
      </c>
      <c r="G677" s="7">
        <v>-4201.68</v>
      </c>
      <c r="H677" s="7">
        <v>0</v>
      </c>
      <c r="I677" s="7">
        <v>2226890.7599999998</v>
      </c>
      <c r="J677" s="7">
        <v>24000</v>
      </c>
      <c r="K677" s="7">
        <v>0</v>
      </c>
      <c r="L677" s="7">
        <v>423109.24</v>
      </c>
      <c r="M677" s="7">
        <v>2674000</v>
      </c>
      <c r="N677" s="7">
        <v>0</v>
      </c>
      <c r="O677" s="7">
        <v>2226890.7599999998</v>
      </c>
      <c r="P677" s="7">
        <v>596534</v>
      </c>
      <c r="Q677" s="7">
        <v>1630356.76</v>
      </c>
      <c r="R677" s="7">
        <v>0</v>
      </c>
      <c r="S677" s="7">
        <v>35</v>
      </c>
      <c r="T677" s="7">
        <v>0</v>
      </c>
      <c r="U677" s="7">
        <v>0</v>
      </c>
      <c r="V677" s="9">
        <v>46189.853409826392</v>
      </c>
    </row>
    <row r="678" spans="1:22" x14ac:dyDescent="0.2">
      <c r="A678" s="8">
        <v>46121</v>
      </c>
      <c r="B678" s="7">
        <v>31</v>
      </c>
      <c r="C678" s="7">
        <v>2.2999999999999998</v>
      </c>
      <c r="D678" s="7">
        <v>148312.82199999999</v>
      </c>
      <c r="E678" s="7">
        <v>-1</v>
      </c>
      <c r="F678" s="7">
        <v>4729714.3</v>
      </c>
      <c r="G678" s="7">
        <v>-90000</v>
      </c>
      <c r="H678" s="7">
        <v>-42016.81</v>
      </c>
      <c r="I678" s="7">
        <v>4597697.49</v>
      </c>
      <c r="J678" s="7">
        <v>116012</v>
      </c>
      <c r="K678" s="7">
        <v>0</v>
      </c>
      <c r="L678" s="7">
        <v>806302.51</v>
      </c>
      <c r="M678" s="7">
        <v>5520012</v>
      </c>
      <c r="N678" s="7">
        <v>29411.759999999998</v>
      </c>
      <c r="O678" s="7">
        <v>4568285.7300000004</v>
      </c>
      <c r="P678" s="7">
        <v>1540221</v>
      </c>
      <c r="Q678" s="7">
        <v>3028064.73</v>
      </c>
      <c r="R678" s="7">
        <v>0</v>
      </c>
      <c r="S678" s="7">
        <v>70</v>
      </c>
      <c r="T678" s="7">
        <v>0</v>
      </c>
      <c r="U678" s="7">
        <v>0</v>
      </c>
      <c r="V678" s="9">
        <v>46189.853409826392</v>
      </c>
    </row>
    <row r="679" spans="1:22" x14ac:dyDescent="0.2">
      <c r="A679" s="8">
        <v>46122</v>
      </c>
      <c r="B679" s="7">
        <v>36</v>
      </c>
      <c r="C679" s="7">
        <v>3.1</v>
      </c>
      <c r="D679" s="7">
        <v>180722.45499999999</v>
      </c>
      <c r="E679" s="7">
        <v>-2</v>
      </c>
      <c r="F679" s="7">
        <v>6775336.0800000001</v>
      </c>
      <c r="G679" s="7">
        <v>-269327.7</v>
      </c>
      <c r="H679" s="7">
        <v>0</v>
      </c>
      <c r="I679" s="7">
        <v>6506008.3799999999</v>
      </c>
      <c r="J679" s="7">
        <v>48000</v>
      </c>
      <c r="K679" s="7">
        <v>0</v>
      </c>
      <c r="L679" s="7">
        <v>1229491.6200000001</v>
      </c>
      <c r="M679" s="7">
        <v>7783500</v>
      </c>
      <c r="N679" s="7">
        <v>0</v>
      </c>
      <c r="O679" s="7">
        <v>6506008.3799999999</v>
      </c>
      <c r="P679" s="7">
        <v>1782412</v>
      </c>
      <c r="Q679" s="7">
        <v>4723596.38</v>
      </c>
      <c r="R679" s="7">
        <v>0</v>
      </c>
      <c r="S679" s="7">
        <v>109</v>
      </c>
      <c r="T679" s="7">
        <v>0</v>
      </c>
      <c r="U679" s="7">
        <v>0</v>
      </c>
      <c r="V679" s="9">
        <v>46189.853409826392</v>
      </c>
    </row>
    <row r="680" spans="1:22" x14ac:dyDescent="0.2">
      <c r="A680" s="8">
        <v>46123</v>
      </c>
      <c r="B680" s="7">
        <v>27</v>
      </c>
      <c r="C680" s="7">
        <v>1.5</v>
      </c>
      <c r="D680" s="7">
        <v>120261.43799999999</v>
      </c>
      <c r="E680" s="7">
        <v>-1</v>
      </c>
      <c r="F680" s="7">
        <v>3247058.83</v>
      </c>
      <c r="G680" s="7">
        <v>0</v>
      </c>
      <c r="H680" s="7">
        <v>-63025.21</v>
      </c>
      <c r="I680" s="7">
        <v>3184033.62</v>
      </c>
      <c r="J680" s="7">
        <v>12000</v>
      </c>
      <c r="K680" s="7">
        <v>0</v>
      </c>
      <c r="L680" s="7">
        <v>604966.38</v>
      </c>
      <c r="M680" s="7">
        <v>3801000</v>
      </c>
      <c r="N680" s="7">
        <v>0</v>
      </c>
      <c r="O680" s="7">
        <v>3184033.62</v>
      </c>
      <c r="P680" s="7">
        <v>1108729</v>
      </c>
      <c r="Q680" s="7">
        <v>2075304.62</v>
      </c>
      <c r="R680" s="7">
        <v>0</v>
      </c>
      <c r="S680" s="7">
        <v>40</v>
      </c>
      <c r="T680" s="7">
        <v>0</v>
      </c>
      <c r="U680" s="7">
        <v>0</v>
      </c>
      <c r="V680" s="9">
        <v>46189.853409826392</v>
      </c>
    </row>
    <row r="681" spans="1:22" x14ac:dyDescent="0.2">
      <c r="A681" s="8">
        <v>46124</v>
      </c>
      <c r="B681" s="7">
        <v>18</v>
      </c>
      <c r="C681" s="7">
        <v>2.6</v>
      </c>
      <c r="D681" s="7">
        <v>146823.52900000001</v>
      </c>
      <c r="E681" s="7">
        <v>0</v>
      </c>
      <c r="F681" s="7">
        <v>2642823.5299999998</v>
      </c>
      <c r="G681" s="7">
        <v>0</v>
      </c>
      <c r="H681" s="7">
        <v>0</v>
      </c>
      <c r="I681" s="7">
        <v>2642823.5299999998</v>
      </c>
      <c r="J681" s="7">
        <v>64000</v>
      </c>
      <c r="K681" s="7">
        <v>0</v>
      </c>
      <c r="L681" s="7">
        <v>486176.47</v>
      </c>
      <c r="M681" s="7">
        <v>3193000</v>
      </c>
      <c r="N681" s="7">
        <v>0</v>
      </c>
      <c r="O681" s="7">
        <v>2642823.5299999998</v>
      </c>
      <c r="P681" s="7">
        <v>774824</v>
      </c>
      <c r="Q681" s="7">
        <v>1867999.53</v>
      </c>
      <c r="R681" s="7">
        <v>0</v>
      </c>
      <c r="S681" s="7">
        <v>46</v>
      </c>
      <c r="T681" s="7">
        <v>0</v>
      </c>
      <c r="U681" s="7">
        <v>0</v>
      </c>
      <c r="V681" s="9">
        <v>46189.853409826392</v>
      </c>
    </row>
    <row r="682" spans="1:22" x14ac:dyDescent="0.2">
      <c r="A682" s="8">
        <v>46125</v>
      </c>
      <c r="B682" s="7">
        <v>33</v>
      </c>
      <c r="C682" s="7">
        <v>2.2000000000000002</v>
      </c>
      <c r="D682" s="7">
        <v>139868.856</v>
      </c>
      <c r="E682" s="7">
        <v>-2</v>
      </c>
      <c r="F682" s="7">
        <v>4870294.07</v>
      </c>
      <c r="G682" s="7">
        <v>-111764.67</v>
      </c>
      <c r="H682" s="7">
        <v>-84033.61</v>
      </c>
      <c r="I682" s="7">
        <v>4674495.79</v>
      </c>
      <c r="J682" s="7">
        <v>72000</v>
      </c>
      <c r="K682" s="7">
        <v>0</v>
      </c>
      <c r="L682" s="7">
        <v>862504.21</v>
      </c>
      <c r="M682" s="7">
        <v>5609000</v>
      </c>
      <c r="N682" s="7">
        <v>142857.15</v>
      </c>
      <c r="O682" s="7">
        <v>4531638.6399999997</v>
      </c>
      <c r="P682" s="7">
        <v>1371002</v>
      </c>
      <c r="Q682" s="7">
        <v>3160636.64</v>
      </c>
      <c r="R682" s="7">
        <v>0</v>
      </c>
      <c r="S682" s="7">
        <v>74</v>
      </c>
      <c r="T682" s="7">
        <v>0</v>
      </c>
      <c r="U682" s="7">
        <v>0</v>
      </c>
      <c r="V682" s="9">
        <v>46189.853409826392</v>
      </c>
    </row>
    <row r="683" spans="1:22" x14ac:dyDescent="0.2">
      <c r="A683" s="8">
        <v>46126</v>
      </c>
      <c r="B683" s="7">
        <v>25</v>
      </c>
      <c r="C683" s="7">
        <v>1.5</v>
      </c>
      <c r="D683" s="7">
        <v>100504.202</v>
      </c>
      <c r="E683" s="7">
        <v>0</v>
      </c>
      <c r="F683" s="7">
        <v>2512605.0499999998</v>
      </c>
      <c r="G683" s="7">
        <v>0</v>
      </c>
      <c r="H683" s="7">
        <v>0</v>
      </c>
      <c r="I683" s="7">
        <v>2512605.0499999998</v>
      </c>
      <c r="J683" s="7">
        <v>72000</v>
      </c>
      <c r="K683" s="7">
        <v>0</v>
      </c>
      <c r="L683" s="7">
        <v>477394.95</v>
      </c>
      <c r="M683" s="7">
        <v>3062000</v>
      </c>
      <c r="N683" s="7">
        <v>0</v>
      </c>
      <c r="O683" s="7">
        <v>2512605.0499999998</v>
      </c>
      <c r="P683" s="7">
        <v>803079</v>
      </c>
      <c r="Q683" s="7">
        <v>1709526.05</v>
      </c>
      <c r="R683" s="7">
        <v>0</v>
      </c>
      <c r="S683" s="7">
        <v>37</v>
      </c>
      <c r="T683" s="7">
        <v>0</v>
      </c>
      <c r="U683" s="7">
        <v>0</v>
      </c>
      <c r="V683" s="9">
        <v>46189.853409826392</v>
      </c>
    </row>
    <row r="684" spans="1:22" x14ac:dyDescent="0.2">
      <c r="A684" s="8">
        <v>46127</v>
      </c>
      <c r="B684" s="7">
        <v>30</v>
      </c>
      <c r="C684" s="7">
        <v>2</v>
      </c>
      <c r="D684" s="7">
        <v>142156.86199999999</v>
      </c>
      <c r="E684" s="7">
        <v>0</v>
      </c>
      <c r="F684" s="7">
        <v>4264705.8600000003</v>
      </c>
      <c r="G684" s="7">
        <v>0</v>
      </c>
      <c r="H684" s="7">
        <v>0</v>
      </c>
      <c r="I684" s="7">
        <v>4264705.8600000003</v>
      </c>
      <c r="J684" s="7">
        <v>48000</v>
      </c>
      <c r="K684" s="7">
        <v>0</v>
      </c>
      <c r="L684" s="7">
        <v>810294.14</v>
      </c>
      <c r="M684" s="7">
        <v>5123000</v>
      </c>
      <c r="N684" s="7">
        <v>58823.519999999997</v>
      </c>
      <c r="O684" s="7">
        <v>4205882.34</v>
      </c>
      <c r="P684" s="7">
        <v>1225767</v>
      </c>
      <c r="Q684" s="7">
        <v>2980115.34</v>
      </c>
      <c r="R684" s="7">
        <v>0</v>
      </c>
      <c r="S684" s="7">
        <v>59</v>
      </c>
      <c r="T684" s="7">
        <v>0</v>
      </c>
      <c r="U684" s="7">
        <v>0</v>
      </c>
      <c r="V684" s="9">
        <v>46189.853409826392</v>
      </c>
    </row>
    <row r="685" spans="1:22" x14ac:dyDescent="0.2">
      <c r="A685" s="8">
        <v>46128</v>
      </c>
      <c r="B685" s="7">
        <v>24</v>
      </c>
      <c r="C685" s="7">
        <v>4.2</v>
      </c>
      <c r="D685" s="7">
        <v>191695.02600000001</v>
      </c>
      <c r="E685" s="7">
        <v>0</v>
      </c>
      <c r="F685" s="7">
        <v>4751941.1399999997</v>
      </c>
      <c r="G685" s="7">
        <v>-117647.05</v>
      </c>
      <c r="H685" s="7">
        <v>0</v>
      </c>
      <c r="I685" s="7">
        <v>4634294.09</v>
      </c>
      <c r="J685" s="7">
        <v>56000</v>
      </c>
      <c r="K685" s="7">
        <v>0</v>
      </c>
      <c r="L685" s="7">
        <v>861705.91</v>
      </c>
      <c r="M685" s="7">
        <v>5552000</v>
      </c>
      <c r="N685" s="7">
        <v>42016.81</v>
      </c>
      <c r="O685" s="7">
        <v>4592277.28</v>
      </c>
      <c r="P685" s="7">
        <v>1469776</v>
      </c>
      <c r="Q685" s="7">
        <v>3122501.28</v>
      </c>
      <c r="R685" s="7">
        <v>170000</v>
      </c>
      <c r="S685" s="7">
        <v>102</v>
      </c>
      <c r="T685" s="7">
        <v>0</v>
      </c>
      <c r="U685" s="7">
        <v>170000</v>
      </c>
      <c r="V685" s="9">
        <v>46189.853409826392</v>
      </c>
    </row>
    <row r="686" spans="1:22" x14ac:dyDescent="0.2">
      <c r="A686" s="8">
        <v>46129</v>
      </c>
      <c r="B686" s="7">
        <v>23</v>
      </c>
      <c r="C686" s="7">
        <v>1.8</v>
      </c>
      <c r="D686" s="7">
        <v>142854.58499999999</v>
      </c>
      <c r="E686" s="7">
        <v>0</v>
      </c>
      <c r="F686" s="7">
        <v>3285655.46</v>
      </c>
      <c r="G686" s="7">
        <v>0</v>
      </c>
      <c r="H686" s="7">
        <v>0</v>
      </c>
      <c r="I686" s="7">
        <v>3285655.46</v>
      </c>
      <c r="J686" s="7">
        <v>100000</v>
      </c>
      <c r="K686" s="7">
        <v>0</v>
      </c>
      <c r="L686" s="7">
        <v>596344.54</v>
      </c>
      <c r="M686" s="7">
        <v>3982000</v>
      </c>
      <c r="N686" s="7">
        <v>0</v>
      </c>
      <c r="O686" s="7">
        <v>3285655.46</v>
      </c>
      <c r="P686" s="7">
        <v>1135847</v>
      </c>
      <c r="Q686" s="7">
        <v>2149808.46</v>
      </c>
      <c r="R686" s="7">
        <v>0</v>
      </c>
      <c r="S686" s="7">
        <v>41</v>
      </c>
      <c r="T686" s="7">
        <v>0</v>
      </c>
      <c r="U686" s="7">
        <v>0</v>
      </c>
      <c r="V686" s="9">
        <v>46189.853409826392</v>
      </c>
    </row>
    <row r="687" spans="1:22" x14ac:dyDescent="0.2">
      <c r="A687" s="8">
        <v>46130</v>
      </c>
      <c r="B687" s="7">
        <v>28</v>
      </c>
      <c r="C687" s="7">
        <v>2.4</v>
      </c>
      <c r="D687" s="7">
        <v>154141.65700000001</v>
      </c>
      <c r="E687" s="7">
        <v>0</v>
      </c>
      <c r="F687" s="7">
        <v>4315966.4000000004</v>
      </c>
      <c r="G687" s="7">
        <v>0</v>
      </c>
      <c r="H687" s="7">
        <v>0</v>
      </c>
      <c r="I687" s="7">
        <v>4315966.4000000004</v>
      </c>
      <c r="J687" s="7">
        <v>36000</v>
      </c>
      <c r="K687" s="7">
        <v>0</v>
      </c>
      <c r="L687" s="7">
        <v>782033.6</v>
      </c>
      <c r="M687" s="7">
        <v>5134000</v>
      </c>
      <c r="N687" s="7">
        <v>0</v>
      </c>
      <c r="O687" s="7">
        <v>4315966.4000000004</v>
      </c>
      <c r="P687" s="7">
        <v>1281506</v>
      </c>
      <c r="Q687" s="7">
        <v>3034460.4</v>
      </c>
      <c r="R687" s="7">
        <v>0</v>
      </c>
      <c r="S687" s="7">
        <v>67</v>
      </c>
      <c r="T687" s="7">
        <v>0</v>
      </c>
      <c r="U687" s="7">
        <v>0</v>
      </c>
      <c r="V687" s="9">
        <v>46189.853409826392</v>
      </c>
    </row>
    <row r="688" spans="1:22" x14ac:dyDescent="0.2">
      <c r="A688" s="8">
        <v>46131</v>
      </c>
      <c r="B688" s="7">
        <v>14</v>
      </c>
      <c r="C688" s="7">
        <v>1.6</v>
      </c>
      <c r="D688" s="7">
        <v>105162.064</v>
      </c>
      <c r="E688" s="7">
        <v>0</v>
      </c>
      <c r="F688" s="7">
        <v>1472268.9</v>
      </c>
      <c r="G688" s="7">
        <v>0</v>
      </c>
      <c r="H688" s="7">
        <v>0</v>
      </c>
      <c r="I688" s="7">
        <v>1472268.9</v>
      </c>
      <c r="J688" s="7">
        <v>64000</v>
      </c>
      <c r="K688" s="7">
        <v>0</v>
      </c>
      <c r="L688" s="7">
        <v>279731.09999999998</v>
      </c>
      <c r="M688" s="7">
        <v>1816000</v>
      </c>
      <c r="N688" s="7">
        <v>0</v>
      </c>
      <c r="O688" s="7">
        <v>1472268.9</v>
      </c>
      <c r="P688" s="7">
        <v>537849</v>
      </c>
      <c r="Q688" s="7">
        <v>934419.9</v>
      </c>
      <c r="R688" s="7">
        <v>0</v>
      </c>
      <c r="S688" s="7">
        <v>23</v>
      </c>
      <c r="T688" s="7">
        <v>0</v>
      </c>
      <c r="U688" s="7">
        <v>0</v>
      </c>
      <c r="V688" s="9">
        <v>46189.853409826392</v>
      </c>
    </row>
    <row r="689" spans="1:22" x14ac:dyDescent="0.2">
      <c r="A689" s="8">
        <v>46132</v>
      </c>
      <c r="B689" s="7">
        <v>30</v>
      </c>
      <c r="C689" s="7">
        <v>2.4</v>
      </c>
      <c r="D689" s="7">
        <v>160431.372</v>
      </c>
      <c r="E689" s="7">
        <v>-3</v>
      </c>
      <c r="F689" s="7">
        <v>5153025.2</v>
      </c>
      <c r="G689" s="7">
        <v>0</v>
      </c>
      <c r="H689" s="7">
        <v>-247647.06</v>
      </c>
      <c r="I689" s="7">
        <v>4905378.1399999997</v>
      </c>
      <c r="J689" s="7">
        <v>40000</v>
      </c>
      <c r="K689" s="7">
        <v>0</v>
      </c>
      <c r="L689" s="7">
        <v>882621.86</v>
      </c>
      <c r="M689" s="7">
        <v>5828000</v>
      </c>
      <c r="N689" s="7">
        <v>0</v>
      </c>
      <c r="O689" s="7">
        <v>4905378.1399999997</v>
      </c>
      <c r="P689" s="7">
        <v>1298282</v>
      </c>
      <c r="Q689" s="7">
        <v>3607096.14</v>
      </c>
      <c r="R689" s="7">
        <v>100000</v>
      </c>
      <c r="S689" s="7">
        <v>73</v>
      </c>
      <c r="T689" s="7">
        <v>0</v>
      </c>
      <c r="U689" s="7">
        <v>100000</v>
      </c>
      <c r="V689" s="9">
        <v>46189.853409826392</v>
      </c>
    </row>
    <row r="690" spans="1:22" x14ac:dyDescent="0.2">
      <c r="A690" s="8">
        <v>46133</v>
      </c>
      <c r="B690" s="7">
        <v>26</v>
      </c>
      <c r="C690" s="7">
        <v>2.8</v>
      </c>
      <c r="D690" s="7">
        <v>167404.65299999999</v>
      </c>
      <c r="E690" s="7">
        <v>0</v>
      </c>
      <c r="F690" s="7">
        <v>4405882.32</v>
      </c>
      <c r="G690" s="7">
        <v>-11344.53</v>
      </c>
      <c r="H690" s="7">
        <v>0</v>
      </c>
      <c r="I690" s="7">
        <v>4394537.79</v>
      </c>
      <c r="J690" s="7">
        <v>100000</v>
      </c>
      <c r="K690" s="7">
        <v>0</v>
      </c>
      <c r="L690" s="7">
        <v>834962.21</v>
      </c>
      <c r="M690" s="7">
        <v>5329500</v>
      </c>
      <c r="N690" s="7">
        <v>0</v>
      </c>
      <c r="O690" s="7">
        <v>4394537.79</v>
      </c>
      <c r="P690" s="7">
        <v>1365625</v>
      </c>
      <c r="Q690" s="7">
        <v>3028912.79</v>
      </c>
      <c r="R690" s="7">
        <v>0</v>
      </c>
      <c r="S690" s="7">
        <v>75</v>
      </c>
      <c r="T690" s="7">
        <v>0</v>
      </c>
      <c r="U690" s="7">
        <v>0</v>
      </c>
      <c r="V690" s="9">
        <v>46189.853409826392</v>
      </c>
    </row>
    <row r="691" spans="1:22" x14ac:dyDescent="0.2">
      <c r="A691" s="8">
        <v>46134</v>
      </c>
      <c r="B691" s="7">
        <v>23</v>
      </c>
      <c r="C691" s="7">
        <v>2</v>
      </c>
      <c r="D691" s="7">
        <v>130378.51700000001</v>
      </c>
      <c r="E691" s="7">
        <v>0</v>
      </c>
      <c r="F691" s="7">
        <v>2998705.9</v>
      </c>
      <c r="G691" s="7">
        <v>0</v>
      </c>
      <c r="H691" s="7">
        <v>0</v>
      </c>
      <c r="I691" s="7">
        <v>2998705.9</v>
      </c>
      <c r="J691" s="7">
        <v>108000</v>
      </c>
      <c r="K691" s="7">
        <v>0</v>
      </c>
      <c r="L691" s="7">
        <v>525294.1</v>
      </c>
      <c r="M691" s="7">
        <v>3632000</v>
      </c>
      <c r="N691" s="7">
        <v>0</v>
      </c>
      <c r="O691" s="7">
        <v>2998705.9</v>
      </c>
      <c r="P691" s="7">
        <v>992995</v>
      </c>
      <c r="Q691" s="7">
        <v>2005710.9</v>
      </c>
      <c r="R691" s="7">
        <v>0</v>
      </c>
      <c r="S691" s="7">
        <v>46</v>
      </c>
      <c r="T691" s="7">
        <v>0</v>
      </c>
      <c r="U691" s="7">
        <v>0</v>
      </c>
      <c r="V691" s="9">
        <v>46189.853409826392</v>
      </c>
    </row>
    <row r="692" spans="1:22" x14ac:dyDescent="0.2">
      <c r="A692" s="8">
        <v>46135</v>
      </c>
      <c r="B692" s="7">
        <v>19</v>
      </c>
      <c r="C692" s="7">
        <v>2.1</v>
      </c>
      <c r="D692" s="7">
        <v>154721.804</v>
      </c>
      <c r="E692" s="7">
        <v>0</v>
      </c>
      <c r="F692" s="7">
        <v>2939714.29</v>
      </c>
      <c r="G692" s="7">
        <v>0</v>
      </c>
      <c r="H692" s="7">
        <v>0</v>
      </c>
      <c r="I692" s="7">
        <v>2939714.29</v>
      </c>
      <c r="J692" s="7">
        <v>48000</v>
      </c>
      <c r="K692" s="7">
        <v>0</v>
      </c>
      <c r="L692" s="7">
        <v>538785.71</v>
      </c>
      <c r="M692" s="7">
        <v>3526500</v>
      </c>
      <c r="N692" s="7">
        <v>0</v>
      </c>
      <c r="O692" s="7">
        <v>2939714.29</v>
      </c>
      <c r="P692" s="7">
        <v>1009018</v>
      </c>
      <c r="Q692" s="7">
        <v>1930696.29</v>
      </c>
      <c r="R692" s="7">
        <v>0</v>
      </c>
      <c r="S692" s="7">
        <v>40</v>
      </c>
      <c r="T692" s="7">
        <v>0</v>
      </c>
      <c r="U692" s="7">
        <v>0</v>
      </c>
      <c r="V692" s="9">
        <v>46189.853409826392</v>
      </c>
    </row>
    <row r="693" spans="1:22" x14ac:dyDescent="0.2">
      <c r="A693" s="8">
        <v>46136</v>
      </c>
      <c r="B693" s="7">
        <v>22</v>
      </c>
      <c r="C693" s="7">
        <v>2.2000000000000002</v>
      </c>
      <c r="D693" s="7">
        <v>124522.575</v>
      </c>
      <c r="E693" s="7">
        <v>0</v>
      </c>
      <c r="F693" s="7">
        <v>2739496.65</v>
      </c>
      <c r="G693" s="7">
        <v>0</v>
      </c>
      <c r="H693" s="7">
        <v>0</v>
      </c>
      <c r="I693" s="7">
        <v>2739496.65</v>
      </c>
      <c r="J693" s="7">
        <v>60000</v>
      </c>
      <c r="K693" s="7">
        <v>0</v>
      </c>
      <c r="L693" s="7">
        <v>520504.35</v>
      </c>
      <c r="M693" s="7">
        <v>3320001</v>
      </c>
      <c r="N693" s="7">
        <v>0.84</v>
      </c>
      <c r="O693" s="7">
        <v>2739495.81</v>
      </c>
      <c r="P693" s="7">
        <v>821179</v>
      </c>
      <c r="Q693" s="7">
        <v>1918316.81</v>
      </c>
      <c r="R693" s="7">
        <v>0</v>
      </c>
      <c r="S693" s="7">
        <v>49</v>
      </c>
      <c r="T693" s="7">
        <v>0</v>
      </c>
      <c r="U693" s="7">
        <v>0</v>
      </c>
      <c r="V693" s="9">
        <v>46189.853409826392</v>
      </c>
    </row>
    <row r="694" spans="1:22" x14ac:dyDescent="0.2">
      <c r="A694" s="8">
        <v>46137</v>
      </c>
      <c r="B694" s="7">
        <v>38</v>
      </c>
      <c r="C694" s="7">
        <v>1.8</v>
      </c>
      <c r="D694" s="7">
        <v>125279.522</v>
      </c>
      <c r="E694" s="7">
        <v>0</v>
      </c>
      <c r="F694" s="7">
        <v>4866084.0199999996</v>
      </c>
      <c r="G694" s="7">
        <v>-105462.17</v>
      </c>
      <c r="H694" s="7">
        <v>0</v>
      </c>
      <c r="I694" s="7">
        <v>4760621.8499999996</v>
      </c>
      <c r="J694" s="7">
        <v>48000</v>
      </c>
      <c r="K694" s="7">
        <v>0</v>
      </c>
      <c r="L694" s="7">
        <v>865378.15</v>
      </c>
      <c r="M694" s="7">
        <v>5674000</v>
      </c>
      <c r="N694" s="7">
        <v>335092.44</v>
      </c>
      <c r="O694" s="7">
        <v>4425529.41</v>
      </c>
      <c r="P694" s="7">
        <v>1314787</v>
      </c>
      <c r="Q694" s="7">
        <v>3110742.41</v>
      </c>
      <c r="R694" s="7">
        <v>0</v>
      </c>
      <c r="S694" s="7">
        <v>70</v>
      </c>
      <c r="T694" s="7">
        <v>0</v>
      </c>
      <c r="U694" s="7">
        <v>0</v>
      </c>
      <c r="V694" s="9">
        <v>46189.853409826392</v>
      </c>
    </row>
    <row r="695" spans="1:22" x14ac:dyDescent="0.2">
      <c r="A695" s="8">
        <v>46138</v>
      </c>
      <c r="B695" s="7">
        <v>18</v>
      </c>
      <c r="C695" s="7">
        <v>1.8</v>
      </c>
      <c r="D695" s="7">
        <v>115079.36599999999</v>
      </c>
      <c r="E695" s="7">
        <v>0</v>
      </c>
      <c r="F695" s="7">
        <v>2071428.59</v>
      </c>
      <c r="G695" s="7">
        <v>0</v>
      </c>
      <c r="H695" s="7">
        <v>0</v>
      </c>
      <c r="I695" s="7">
        <v>2071428.59</v>
      </c>
      <c r="J695" s="7">
        <v>68000</v>
      </c>
      <c r="K695" s="7">
        <v>0</v>
      </c>
      <c r="L695" s="7">
        <v>393571.41</v>
      </c>
      <c r="M695" s="7">
        <v>2533000</v>
      </c>
      <c r="N695" s="7">
        <v>0</v>
      </c>
      <c r="O695" s="7">
        <v>2071428.59</v>
      </c>
      <c r="P695" s="7">
        <v>639616</v>
      </c>
      <c r="Q695" s="7">
        <v>1431812.59</v>
      </c>
      <c r="R695" s="7">
        <v>0</v>
      </c>
      <c r="S695" s="7">
        <v>33</v>
      </c>
      <c r="T695" s="7">
        <v>0</v>
      </c>
      <c r="U695" s="7">
        <v>0</v>
      </c>
      <c r="V695" s="9">
        <v>46189.853409826392</v>
      </c>
    </row>
    <row r="696" spans="1:22" x14ac:dyDescent="0.2">
      <c r="A696" s="8">
        <v>46139</v>
      </c>
      <c r="B696" s="7">
        <v>22</v>
      </c>
      <c r="C696" s="7">
        <v>3.3</v>
      </c>
      <c r="D696" s="7">
        <v>227544.30900000001</v>
      </c>
      <c r="E696" s="7">
        <v>0</v>
      </c>
      <c r="F696" s="7">
        <v>5005974.8099999996</v>
      </c>
      <c r="G696" s="7">
        <v>0</v>
      </c>
      <c r="H696" s="7">
        <v>0</v>
      </c>
      <c r="I696" s="7">
        <v>5005974.8099999996</v>
      </c>
      <c r="J696" s="7">
        <v>48000</v>
      </c>
      <c r="K696" s="7">
        <v>0</v>
      </c>
      <c r="L696" s="7">
        <v>919025.19</v>
      </c>
      <c r="M696" s="7">
        <v>5973000</v>
      </c>
      <c r="N696" s="7">
        <v>240428.57</v>
      </c>
      <c r="O696" s="7">
        <v>4765546.24</v>
      </c>
      <c r="P696" s="7">
        <v>1524333</v>
      </c>
      <c r="Q696" s="7">
        <v>3241213.24</v>
      </c>
      <c r="R696" s="7">
        <v>0</v>
      </c>
      <c r="S696" s="7">
        <v>73</v>
      </c>
      <c r="T696" s="7">
        <v>0</v>
      </c>
      <c r="U696" s="7">
        <v>0</v>
      </c>
      <c r="V696" s="9">
        <v>46189.853409826392</v>
      </c>
    </row>
    <row r="697" spans="1:22" x14ac:dyDescent="0.2">
      <c r="A697" s="8">
        <v>46140</v>
      </c>
      <c r="B697" s="7">
        <v>29</v>
      </c>
      <c r="C697" s="7">
        <v>1.7</v>
      </c>
      <c r="D697" s="7">
        <v>113155.605</v>
      </c>
      <c r="E697" s="7">
        <v>-3</v>
      </c>
      <c r="F697" s="7">
        <v>3495714.25</v>
      </c>
      <c r="G697" s="7">
        <v>-214201.68</v>
      </c>
      <c r="H697" s="7">
        <v>0</v>
      </c>
      <c r="I697" s="7">
        <v>3281512.57</v>
      </c>
      <c r="J697" s="7">
        <v>80000</v>
      </c>
      <c r="K697" s="7">
        <v>0</v>
      </c>
      <c r="L697" s="7">
        <v>623487.43000000005</v>
      </c>
      <c r="M697" s="7">
        <v>3985000</v>
      </c>
      <c r="N697" s="7">
        <v>0</v>
      </c>
      <c r="O697" s="7">
        <v>3281512.57</v>
      </c>
      <c r="P697" s="7">
        <v>1004580</v>
      </c>
      <c r="Q697" s="7">
        <v>2276932.5699999998</v>
      </c>
      <c r="R697" s="7">
        <v>0</v>
      </c>
      <c r="S697" s="7">
        <v>46</v>
      </c>
      <c r="T697" s="7">
        <v>0</v>
      </c>
      <c r="U697" s="7">
        <v>0</v>
      </c>
      <c r="V697" s="9">
        <v>46189.853409826392</v>
      </c>
    </row>
    <row r="698" spans="1:22" x14ac:dyDescent="0.2">
      <c r="A698" s="8">
        <v>46141</v>
      </c>
      <c r="B698" s="7">
        <v>25</v>
      </c>
      <c r="C698" s="7">
        <v>1.8</v>
      </c>
      <c r="D698" s="7">
        <v>134655.462</v>
      </c>
      <c r="E698" s="7">
        <v>0</v>
      </c>
      <c r="F698" s="7">
        <v>3366386.57</v>
      </c>
      <c r="G698" s="7">
        <v>0</v>
      </c>
      <c r="H698" s="7">
        <v>0</v>
      </c>
      <c r="I698" s="7">
        <v>3366386.57</v>
      </c>
      <c r="J698" s="7">
        <v>88000</v>
      </c>
      <c r="K698" s="7">
        <v>0</v>
      </c>
      <c r="L698" s="7">
        <v>639613.43000000005</v>
      </c>
      <c r="M698" s="7">
        <v>4094000</v>
      </c>
      <c r="N698" s="7">
        <v>0</v>
      </c>
      <c r="O698" s="7">
        <v>3366386.57</v>
      </c>
      <c r="P698" s="7">
        <v>986494</v>
      </c>
      <c r="Q698" s="7">
        <v>2379892.5699999998</v>
      </c>
      <c r="R698" s="7">
        <v>0</v>
      </c>
      <c r="S698" s="7">
        <v>44</v>
      </c>
      <c r="T698" s="7">
        <v>0</v>
      </c>
      <c r="U698" s="7">
        <v>0</v>
      </c>
      <c r="V698" s="9">
        <v>46189.853409826392</v>
      </c>
    </row>
    <row r="699" spans="1:22" x14ac:dyDescent="0.2">
      <c r="A699" s="8">
        <v>46142</v>
      </c>
      <c r="B699" s="7">
        <v>41</v>
      </c>
      <c r="C699" s="7">
        <v>2.5</v>
      </c>
      <c r="D699" s="7">
        <v>162392.318</v>
      </c>
      <c r="E699" s="7">
        <v>-2</v>
      </c>
      <c r="F699" s="7">
        <v>6742118.6600000001</v>
      </c>
      <c r="G699" s="7">
        <v>0</v>
      </c>
      <c r="H699" s="7">
        <v>-94117.64</v>
      </c>
      <c r="I699" s="7">
        <v>6648001.0199999996</v>
      </c>
      <c r="J699" s="7">
        <v>52000</v>
      </c>
      <c r="K699" s="7">
        <v>0</v>
      </c>
      <c r="L699" s="7">
        <v>1244499.98</v>
      </c>
      <c r="M699" s="7">
        <v>7944501</v>
      </c>
      <c r="N699" s="7">
        <v>390757.3</v>
      </c>
      <c r="O699" s="7">
        <v>6257243.7199999997</v>
      </c>
      <c r="P699" s="7">
        <v>1725692</v>
      </c>
      <c r="Q699" s="7">
        <v>4531551.72</v>
      </c>
      <c r="R699" s="7">
        <v>0</v>
      </c>
      <c r="S699" s="7">
        <v>101</v>
      </c>
      <c r="T699" s="7">
        <v>0</v>
      </c>
      <c r="U699" s="7">
        <v>0</v>
      </c>
      <c r="V699" s="9">
        <v>46189.853409826392</v>
      </c>
    </row>
    <row r="700" spans="1:22" x14ac:dyDescent="0.2">
      <c r="A700" s="8">
        <v>46143</v>
      </c>
      <c r="B700" s="7">
        <v>80</v>
      </c>
      <c r="C700" s="7">
        <v>3.8</v>
      </c>
      <c r="D700" s="7">
        <v>129213.446</v>
      </c>
      <c r="E700" s="7">
        <v>-10</v>
      </c>
      <c r="F700" s="7">
        <v>10587764.779999999</v>
      </c>
      <c r="G700" s="7">
        <v>-28000</v>
      </c>
      <c r="H700" s="7">
        <v>-218487.38</v>
      </c>
      <c r="I700" s="7">
        <v>10341277.4</v>
      </c>
      <c r="J700" s="7">
        <v>108000</v>
      </c>
      <c r="K700" s="7">
        <v>0</v>
      </c>
      <c r="L700" s="7">
        <v>1936722.6</v>
      </c>
      <c r="M700" s="7">
        <v>12386000</v>
      </c>
      <c r="N700" s="7">
        <v>0</v>
      </c>
      <c r="O700" s="7">
        <v>10341277.4</v>
      </c>
      <c r="P700" s="7">
        <v>3818840</v>
      </c>
      <c r="Q700" s="7">
        <v>6522437.4000000004</v>
      </c>
      <c r="R700" s="7">
        <v>0</v>
      </c>
      <c r="S700" s="7">
        <v>294</v>
      </c>
      <c r="T700" s="7">
        <v>0</v>
      </c>
      <c r="U700" s="7">
        <v>0</v>
      </c>
      <c r="V700" s="9">
        <v>46189.853409826392</v>
      </c>
    </row>
    <row r="701" spans="1:22" x14ac:dyDescent="0.2">
      <c r="A701" s="8">
        <v>46144</v>
      </c>
      <c r="B701" s="7">
        <v>68</v>
      </c>
      <c r="C701" s="7">
        <v>2.1</v>
      </c>
      <c r="D701" s="7">
        <v>115472.071</v>
      </c>
      <c r="E701" s="7">
        <v>-4</v>
      </c>
      <c r="F701" s="7">
        <v>7860504.1900000004</v>
      </c>
      <c r="G701" s="7">
        <v>-8403.35</v>
      </c>
      <c r="H701" s="7">
        <v>-40336.120000000003</v>
      </c>
      <c r="I701" s="7">
        <v>7811764.7199999997</v>
      </c>
      <c r="J701" s="7">
        <v>184000</v>
      </c>
      <c r="K701" s="7">
        <v>0</v>
      </c>
      <c r="L701" s="7">
        <v>1484235.28</v>
      </c>
      <c r="M701" s="7">
        <v>9480000</v>
      </c>
      <c r="N701" s="7">
        <v>0</v>
      </c>
      <c r="O701" s="7">
        <v>7811764.7199999997</v>
      </c>
      <c r="P701" s="7">
        <v>1867141</v>
      </c>
      <c r="Q701" s="7">
        <v>5944623.7199999997</v>
      </c>
      <c r="R701" s="7">
        <v>0</v>
      </c>
      <c r="S701" s="7">
        <v>141</v>
      </c>
      <c r="T701" s="7">
        <v>0</v>
      </c>
      <c r="U701" s="7">
        <v>0</v>
      </c>
      <c r="V701" s="9">
        <v>46189.853409826392</v>
      </c>
    </row>
    <row r="702" spans="1:22" x14ac:dyDescent="0.2">
      <c r="A702" s="8">
        <v>46145</v>
      </c>
      <c r="B702" s="7">
        <v>77</v>
      </c>
      <c r="C702" s="7">
        <v>2</v>
      </c>
      <c r="D702" s="7">
        <v>116053.694</v>
      </c>
      <c r="E702" s="7">
        <v>-7</v>
      </c>
      <c r="F702" s="7">
        <v>8978151.2400000002</v>
      </c>
      <c r="G702" s="7">
        <v>-42016.800000000003</v>
      </c>
      <c r="H702" s="7">
        <v>-70588.210000000006</v>
      </c>
      <c r="I702" s="7">
        <v>8865546.2300000004</v>
      </c>
      <c r="J702" s="7">
        <v>136000</v>
      </c>
      <c r="K702" s="7">
        <v>0</v>
      </c>
      <c r="L702" s="7">
        <v>1684453.77</v>
      </c>
      <c r="M702" s="7">
        <v>10686000</v>
      </c>
      <c r="N702" s="7">
        <v>268907.57</v>
      </c>
      <c r="O702" s="7">
        <v>8596638.6600000001</v>
      </c>
      <c r="P702" s="7">
        <v>2310896</v>
      </c>
      <c r="Q702" s="7">
        <v>6285742.6600000001</v>
      </c>
      <c r="R702" s="7">
        <v>0</v>
      </c>
      <c r="S702" s="7">
        <v>147</v>
      </c>
      <c r="T702" s="7">
        <v>0</v>
      </c>
      <c r="U702" s="7">
        <v>0</v>
      </c>
      <c r="V702" s="9">
        <v>46189.853409826392</v>
      </c>
    </row>
    <row r="703" spans="1:22" x14ac:dyDescent="0.2">
      <c r="A703" s="8">
        <v>46146</v>
      </c>
      <c r="B703" s="7">
        <v>32</v>
      </c>
      <c r="C703" s="7">
        <v>2.2000000000000002</v>
      </c>
      <c r="D703" s="7">
        <v>146725.57699999999</v>
      </c>
      <c r="E703" s="7">
        <v>0</v>
      </c>
      <c r="F703" s="7">
        <v>4765806.6900000004</v>
      </c>
      <c r="G703" s="7">
        <v>-70588.22</v>
      </c>
      <c r="H703" s="7">
        <v>0</v>
      </c>
      <c r="I703" s="7">
        <v>4695218.47</v>
      </c>
      <c r="J703" s="7">
        <v>140000</v>
      </c>
      <c r="K703" s="7">
        <v>0</v>
      </c>
      <c r="L703" s="7">
        <v>882781.53</v>
      </c>
      <c r="M703" s="7">
        <v>5718000</v>
      </c>
      <c r="N703" s="7">
        <v>0</v>
      </c>
      <c r="O703" s="7">
        <v>4695218.47</v>
      </c>
      <c r="P703" s="7">
        <v>1610624</v>
      </c>
      <c r="Q703" s="7">
        <v>3084594.47</v>
      </c>
      <c r="R703" s="7">
        <v>0</v>
      </c>
      <c r="S703" s="7">
        <v>70</v>
      </c>
      <c r="T703" s="7">
        <v>0</v>
      </c>
      <c r="U703" s="7">
        <v>0</v>
      </c>
      <c r="V703" s="9">
        <v>46189.853409826392</v>
      </c>
    </row>
    <row r="704" spans="1:22" x14ac:dyDescent="0.2">
      <c r="A704" s="8">
        <v>46147</v>
      </c>
      <c r="B704" s="7">
        <v>29</v>
      </c>
      <c r="C704" s="7">
        <v>2.4</v>
      </c>
      <c r="D704" s="7">
        <v>160822.95000000001</v>
      </c>
      <c r="E704" s="7">
        <v>0</v>
      </c>
      <c r="F704" s="7">
        <v>4663865.57</v>
      </c>
      <c r="G704" s="7">
        <v>0</v>
      </c>
      <c r="H704" s="7">
        <v>0</v>
      </c>
      <c r="I704" s="7">
        <v>4663865.57</v>
      </c>
      <c r="J704" s="7">
        <v>64000</v>
      </c>
      <c r="K704" s="7">
        <v>0</v>
      </c>
      <c r="L704" s="7">
        <v>886134.43</v>
      </c>
      <c r="M704" s="7">
        <v>5614000</v>
      </c>
      <c r="N704" s="7">
        <v>0</v>
      </c>
      <c r="O704" s="7">
        <v>4663865.57</v>
      </c>
      <c r="P704" s="7">
        <v>1609236</v>
      </c>
      <c r="Q704" s="7">
        <v>3054629.57</v>
      </c>
      <c r="R704" s="7">
        <v>0</v>
      </c>
      <c r="S704" s="7">
        <v>69</v>
      </c>
      <c r="T704" s="7">
        <v>0</v>
      </c>
      <c r="U704" s="7">
        <v>0</v>
      </c>
      <c r="V704" s="9">
        <v>46189.853409826392</v>
      </c>
    </row>
    <row r="705" spans="1:22" x14ac:dyDescent="0.2">
      <c r="A705" s="8">
        <v>46148</v>
      </c>
      <c r="B705" s="7">
        <v>44</v>
      </c>
      <c r="C705" s="7">
        <v>2.1</v>
      </c>
      <c r="D705" s="7">
        <v>147087.49400000001</v>
      </c>
      <c r="E705" s="7">
        <v>-12</v>
      </c>
      <c r="F705" s="7">
        <v>6814286.6900000004</v>
      </c>
      <c r="G705" s="7">
        <v>-135294.07</v>
      </c>
      <c r="H705" s="7">
        <v>-504285.72</v>
      </c>
      <c r="I705" s="7">
        <v>6174706.9000000004</v>
      </c>
      <c r="J705" s="7">
        <v>104001</v>
      </c>
      <c r="K705" s="7">
        <v>0</v>
      </c>
      <c r="L705" s="7">
        <v>1173194.1000000001</v>
      </c>
      <c r="M705" s="7">
        <v>7451902</v>
      </c>
      <c r="N705" s="7">
        <v>-225713.29</v>
      </c>
      <c r="O705" s="7">
        <v>6400420.1900000004</v>
      </c>
      <c r="P705" s="7">
        <v>2015146</v>
      </c>
      <c r="Q705" s="7">
        <v>4385274.1900000004</v>
      </c>
      <c r="R705" s="7">
        <v>0</v>
      </c>
      <c r="S705" s="7">
        <v>84</v>
      </c>
      <c r="T705" s="7">
        <v>0</v>
      </c>
      <c r="U705" s="7">
        <v>0</v>
      </c>
      <c r="V705" s="9">
        <v>46189.853409826392</v>
      </c>
    </row>
    <row r="706" spans="1:22" x14ac:dyDescent="0.2">
      <c r="A706" s="8">
        <v>46149</v>
      </c>
      <c r="B706" s="7">
        <v>41</v>
      </c>
      <c r="C706" s="7">
        <v>1.9</v>
      </c>
      <c r="D706" s="7">
        <v>118466.899</v>
      </c>
      <c r="E706" s="7">
        <v>0</v>
      </c>
      <c r="F706" s="7">
        <v>4857142.8600000003</v>
      </c>
      <c r="G706" s="7">
        <v>0</v>
      </c>
      <c r="H706" s="7">
        <v>0</v>
      </c>
      <c r="I706" s="7">
        <v>4857142.8600000003</v>
      </c>
      <c r="J706" s="7">
        <v>108000</v>
      </c>
      <c r="K706" s="7">
        <v>0</v>
      </c>
      <c r="L706" s="7">
        <v>922857.14</v>
      </c>
      <c r="M706" s="7">
        <v>5888000</v>
      </c>
      <c r="N706" s="7">
        <v>168067.23</v>
      </c>
      <c r="O706" s="7">
        <v>4689075.63</v>
      </c>
      <c r="P706" s="7">
        <v>1245506</v>
      </c>
      <c r="Q706" s="7">
        <v>3443569.63</v>
      </c>
      <c r="R706" s="7">
        <v>0</v>
      </c>
      <c r="S706" s="7">
        <v>78</v>
      </c>
      <c r="T706" s="7">
        <v>0</v>
      </c>
      <c r="U706" s="7">
        <v>0</v>
      </c>
      <c r="V706" s="9">
        <v>46189.853409826392</v>
      </c>
    </row>
    <row r="707" spans="1:22" x14ac:dyDescent="0.2">
      <c r="A707" s="8">
        <v>46150</v>
      </c>
      <c r="B707" s="7">
        <v>46</v>
      </c>
      <c r="C707" s="7">
        <v>2.4</v>
      </c>
      <c r="D707" s="7">
        <v>116245.158</v>
      </c>
      <c r="E707" s="7">
        <v>-3</v>
      </c>
      <c r="F707" s="7">
        <v>5749798.2800000003</v>
      </c>
      <c r="G707" s="7">
        <v>-121008.37</v>
      </c>
      <c r="H707" s="7">
        <v>-205882.35</v>
      </c>
      <c r="I707" s="7">
        <v>5422907.5599999996</v>
      </c>
      <c r="J707" s="7">
        <v>92000</v>
      </c>
      <c r="K707" s="7">
        <v>0</v>
      </c>
      <c r="L707" s="7">
        <v>1020092.44</v>
      </c>
      <c r="M707" s="7">
        <v>6535000</v>
      </c>
      <c r="N707" s="7">
        <v>0</v>
      </c>
      <c r="O707" s="7">
        <v>5422907.5599999996</v>
      </c>
      <c r="P707" s="7">
        <v>1137629</v>
      </c>
      <c r="Q707" s="7">
        <v>4285278.5599999996</v>
      </c>
      <c r="R707" s="7">
        <v>100000</v>
      </c>
      <c r="S707" s="7">
        <v>113</v>
      </c>
      <c r="T707" s="7">
        <v>0</v>
      </c>
      <c r="U707" s="7">
        <v>100000</v>
      </c>
      <c r="V707" s="9">
        <v>46189.853409826392</v>
      </c>
    </row>
    <row r="708" spans="1:22" x14ac:dyDescent="0.2">
      <c r="A708" s="8">
        <v>46151</v>
      </c>
      <c r="B708" s="7">
        <v>68</v>
      </c>
      <c r="C708" s="7">
        <v>2.4</v>
      </c>
      <c r="D708" s="7">
        <v>132266.93</v>
      </c>
      <c r="E708" s="7">
        <v>-4</v>
      </c>
      <c r="F708" s="7">
        <v>8998352.9299999997</v>
      </c>
      <c r="G708" s="7">
        <v>-4201.67</v>
      </c>
      <c r="H708" s="7">
        <v>-197479</v>
      </c>
      <c r="I708" s="7">
        <v>8796672.2599999998</v>
      </c>
      <c r="J708" s="7">
        <v>80000</v>
      </c>
      <c r="K708" s="7">
        <v>0</v>
      </c>
      <c r="L708" s="7">
        <v>1649327.74</v>
      </c>
      <c r="M708" s="7">
        <v>10526000</v>
      </c>
      <c r="N708" s="7">
        <v>226890.75</v>
      </c>
      <c r="O708" s="7">
        <v>8569781.5099999998</v>
      </c>
      <c r="P708" s="7">
        <v>2515408</v>
      </c>
      <c r="Q708" s="7">
        <v>6054373.5099999998</v>
      </c>
      <c r="R708" s="7">
        <v>770000</v>
      </c>
      <c r="S708" s="7">
        <v>158</v>
      </c>
      <c r="T708" s="7">
        <v>0</v>
      </c>
      <c r="U708" s="7">
        <v>770000</v>
      </c>
      <c r="V708" s="9">
        <v>46189.853409826392</v>
      </c>
    </row>
    <row r="709" spans="1:22" x14ac:dyDescent="0.2">
      <c r="A709" s="8">
        <v>46152</v>
      </c>
      <c r="B709" s="7">
        <v>22</v>
      </c>
      <c r="C709" s="7">
        <v>3.1</v>
      </c>
      <c r="D709" s="7">
        <v>149618.02799999999</v>
      </c>
      <c r="E709" s="7">
        <v>0</v>
      </c>
      <c r="F709" s="7">
        <v>3291596.63</v>
      </c>
      <c r="G709" s="7">
        <v>0</v>
      </c>
      <c r="H709" s="7">
        <v>0</v>
      </c>
      <c r="I709" s="7">
        <v>3291596.63</v>
      </c>
      <c r="J709" s="7">
        <v>44000</v>
      </c>
      <c r="K709" s="7">
        <v>0</v>
      </c>
      <c r="L709" s="7">
        <v>625403.37</v>
      </c>
      <c r="M709" s="7">
        <v>3961000</v>
      </c>
      <c r="N709" s="7">
        <v>0</v>
      </c>
      <c r="O709" s="7">
        <v>3291596.63</v>
      </c>
      <c r="P709" s="7">
        <v>1072082</v>
      </c>
      <c r="Q709" s="7">
        <v>2219514.63</v>
      </c>
      <c r="R709" s="7">
        <v>0</v>
      </c>
      <c r="S709" s="7">
        <v>68</v>
      </c>
      <c r="T709" s="7">
        <v>0</v>
      </c>
      <c r="U709" s="7">
        <v>0</v>
      </c>
      <c r="V709" s="9">
        <v>46189.853409826392</v>
      </c>
    </row>
    <row r="710" spans="1:22" x14ac:dyDescent="0.2">
      <c r="A710" s="8">
        <v>46153</v>
      </c>
      <c r="B710" s="7">
        <v>30</v>
      </c>
      <c r="C710" s="7">
        <v>1.9</v>
      </c>
      <c r="D710" s="7">
        <v>119106.723</v>
      </c>
      <c r="E710" s="7">
        <v>-1</v>
      </c>
      <c r="F710" s="7">
        <v>3774042.02</v>
      </c>
      <c r="G710" s="7">
        <v>-26470.58</v>
      </c>
      <c r="H710" s="7">
        <v>-138655.46</v>
      </c>
      <c r="I710" s="7">
        <v>3608915.98</v>
      </c>
      <c r="J710" s="7">
        <v>88000</v>
      </c>
      <c r="K710" s="7">
        <v>0</v>
      </c>
      <c r="L710" s="7">
        <v>653584.02</v>
      </c>
      <c r="M710" s="7">
        <v>4350500</v>
      </c>
      <c r="N710" s="7">
        <v>35714.29</v>
      </c>
      <c r="O710" s="7">
        <v>3573201.69</v>
      </c>
      <c r="P710" s="7">
        <v>1029363</v>
      </c>
      <c r="Q710" s="7">
        <v>2543838.69</v>
      </c>
      <c r="R710" s="7">
        <v>0</v>
      </c>
      <c r="S710" s="7">
        <v>58</v>
      </c>
      <c r="T710" s="7">
        <v>0</v>
      </c>
      <c r="U710" s="7">
        <v>0</v>
      </c>
      <c r="V710" s="9">
        <v>46189.853409826392</v>
      </c>
    </row>
    <row r="711" spans="1:22" x14ac:dyDescent="0.2">
      <c r="A711" s="8">
        <v>46154</v>
      </c>
      <c r="B711" s="7">
        <v>23</v>
      </c>
      <c r="C711" s="7">
        <v>2.8</v>
      </c>
      <c r="D711" s="7">
        <v>167884.54500000001</v>
      </c>
      <c r="E711" s="7">
        <v>-1</v>
      </c>
      <c r="F711" s="7">
        <v>4130252.11</v>
      </c>
      <c r="G711" s="7">
        <v>0</v>
      </c>
      <c r="H711" s="7">
        <v>-210084.03</v>
      </c>
      <c r="I711" s="7">
        <v>3920168.08</v>
      </c>
      <c r="J711" s="7">
        <v>116000</v>
      </c>
      <c r="K711" s="7">
        <v>0</v>
      </c>
      <c r="L711" s="7">
        <v>744831.92</v>
      </c>
      <c r="M711" s="7">
        <v>4781000</v>
      </c>
      <c r="N711" s="7">
        <v>0</v>
      </c>
      <c r="O711" s="7">
        <v>3920168.08</v>
      </c>
      <c r="P711" s="7">
        <v>1239056</v>
      </c>
      <c r="Q711" s="7">
        <v>2681112.08</v>
      </c>
      <c r="R711" s="7">
        <v>0</v>
      </c>
      <c r="S711" s="7">
        <v>65</v>
      </c>
      <c r="T711" s="7">
        <v>0</v>
      </c>
      <c r="U711" s="7">
        <v>0</v>
      </c>
      <c r="V711" s="9">
        <v>46189.853409826392</v>
      </c>
    </row>
    <row r="712" spans="1:22" x14ac:dyDescent="0.2">
      <c r="A712" s="8">
        <v>46155</v>
      </c>
      <c r="B712" s="7">
        <v>43</v>
      </c>
      <c r="C712" s="7">
        <v>6.3</v>
      </c>
      <c r="D712" s="7">
        <v>212194.644</v>
      </c>
      <c r="E712" s="7">
        <v>0</v>
      </c>
      <c r="F712" s="7">
        <v>9136974.7699999996</v>
      </c>
      <c r="G712" s="7">
        <v>-12605.04</v>
      </c>
      <c r="H712" s="7">
        <v>0</v>
      </c>
      <c r="I712" s="7">
        <v>9124369.7300000004</v>
      </c>
      <c r="J712" s="7">
        <v>116000</v>
      </c>
      <c r="K712" s="7">
        <v>0</v>
      </c>
      <c r="L712" s="7">
        <v>1733630.27</v>
      </c>
      <c r="M712" s="7">
        <v>10974000</v>
      </c>
      <c r="N712" s="7">
        <v>352941.18</v>
      </c>
      <c r="O712" s="7">
        <v>8771428.5500000007</v>
      </c>
      <c r="P712" s="7">
        <v>2550379</v>
      </c>
      <c r="Q712" s="7">
        <v>6221049.5499999998</v>
      </c>
      <c r="R712" s="7">
        <v>0</v>
      </c>
      <c r="S712" s="7">
        <v>270</v>
      </c>
      <c r="T712" s="7">
        <v>0</v>
      </c>
      <c r="U712" s="7">
        <v>0</v>
      </c>
      <c r="V712" s="9">
        <v>46189.853409826392</v>
      </c>
    </row>
    <row r="713" spans="1:22" x14ac:dyDescent="0.2">
      <c r="A713" s="8">
        <v>46156</v>
      </c>
      <c r="B713" s="7">
        <v>28</v>
      </c>
      <c r="C713" s="7">
        <v>2.7</v>
      </c>
      <c r="D713" s="7">
        <v>151830.73199999999</v>
      </c>
      <c r="E713" s="7">
        <v>0</v>
      </c>
      <c r="F713" s="7">
        <v>4251260.5</v>
      </c>
      <c r="G713" s="7">
        <v>0</v>
      </c>
      <c r="H713" s="7">
        <v>0</v>
      </c>
      <c r="I713" s="7">
        <v>4251260.5</v>
      </c>
      <c r="J713" s="7">
        <v>88000</v>
      </c>
      <c r="K713" s="7">
        <v>0</v>
      </c>
      <c r="L713" s="7">
        <v>807739.5</v>
      </c>
      <c r="M713" s="7">
        <v>5147000</v>
      </c>
      <c r="N713" s="7">
        <v>0</v>
      </c>
      <c r="O713" s="7">
        <v>4251260.5</v>
      </c>
      <c r="P713" s="7">
        <v>1267010</v>
      </c>
      <c r="Q713" s="7">
        <v>2984250.5</v>
      </c>
      <c r="R713" s="7">
        <v>0</v>
      </c>
      <c r="S713" s="7">
        <v>75</v>
      </c>
      <c r="T713" s="7">
        <v>0</v>
      </c>
      <c r="U713" s="7">
        <v>0</v>
      </c>
      <c r="V713" s="9">
        <v>46189.853409826392</v>
      </c>
    </row>
    <row r="714" spans="1:22" x14ac:dyDescent="0.2">
      <c r="A714" s="8">
        <v>46157</v>
      </c>
      <c r="B714" s="7">
        <v>29</v>
      </c>
      <c r="C714" s="7">
        <v>3</v>
      </c>
      <c r="D714" s="7">
        <v>135251.81099999999</v>
      </c>
      <c r="E714" s="7">
        <v>0</v>
      </c>
      <c r="F714" s="7">
        <v>3922302.53</v>
      </c>
      <c r="G714" s="7">
        <v>0</v>
      </c>
      <c r="H714" s="7">
        <v>0</v>
      </c>
      <c r="I714" s="7">
        <v>3922302.53</v>
      </c>
      <c r="J714" s="7">
        <v>72000</v>
      </c>
      <c r="K714" s="7">
        <v>0</v>
      </c>
      <c r="L714" s="7">
        <v>723197.47</v>
      </c>
      <c r="M714" s="7">
        <v>4717500</v>
      </c>
      <c r="N714" s="7">
        <v>168067.23</v>
      </c>
      <c r="O714" s="7">
        <v>3754235.3</v>
      </c>
      <c r="P714" s="7">
        <v>1253986</v>
      </c>
      <c r="Q714" s="7">
        <v>2500249.2999999998</v>
      </c>
      <c r="R714" s="7">
        <v>0</v>
      </c>
      <c r="S714" s="7">
        <v>87</v>
      </c>
      <c r="T714" s="7">
        <v>0</v>
      </c>
      <c r="U714" s="7">
        <v>0</v>
      </c>
      <c r="V714" s="9">
        <v>46189.853409826392</v>
      </c>
    </row>
    <row r="715" spans="1:22" x14ac:dyDescent="0.2">
      <c r="A715" s="8">
        <v>46158</v>
      </c>
      <c r="B715" s="7">
        <v>21</v>
      </c>
      <c r="C715" s="7">
        <v>1.7</v>
      </c>
      <c r="D715" s="7">
        <v>114004.401</v>
      </c>
      <c r="E715" s="7">
        <v>0</v>
      </c>
      <c r="F715" s="7">
        <v>2394092.4300000002</v>
      </c>
      <c r="G715" s="7">
        <v>0</v>
      </c>
      <c r="H715" s="7">
        <v>0</v>
      </c>
      <c r="I715" s="7">
        <v>2394092.4300000002</v>
      </c>
      <c r="J715" s="7">
        <v>84000</v>
      </c>
      <c r="K715" s="7">
        <v>0</v>
      </c>
      <c r="L715" s="7">
        <v>423907.57</v>
      </c>
      <c r="M715" s="7">
        <v>2902000</v>
      </c>
      <c r="N715" s="7">
        <v>0</v>
      </c>
      <c r="O715" s="7">
        <v>2394092.4300000002</v>
      </c>
      <c r="P715" s="7">
        <v>682237</v>
      </c>
      <c r="Q715" s="7">
        <v>1711855.43</v>
      </c>
      <c r="R715" s="7">
        <v>0</v>
      </c>
      <c r="S715" s="7">
        <v>35</v>
      </c>
      <c r="T715" s="7">
        <v>0</v>
      </c>
      <c r="U715" s="7">
        <v>0</v>
      </c>
      <c r="V715" s="9">
        <v>46189.853409826392</v>
      </c>
    </row>
    <row r="716" spans="1:22" x14ac:dyDescent="0.2">
      <c r="A716" s="8">
        <v>46159</v>
      </c>
      <c r="B716" s="7">
        <v>13</v>
      </c>
      <c r="C716" s="7">
        <v>1.9</v>
      </c>
      <c r="D716" s="7">
        <v>110702.65</v>
      </c>
      <c r="E716" s="7">
        <v>0</v>
      </c>
      <c r="F716" s="7">
        <v>1439134.45</v>
      </c>
      <c r="G716" s="7">
        <v>0</v>
      </c>
      <c r="H716" s="7">
        <v>0</v>
      </c>
      <c r="I716" s="7">
        <v>1439134.45</v>
      </c>
      <c r="J716" s="7">
        <v>28000</v>
      </c>
      <c r="K716" s="7">
        <v>0</v>
      </c>
      <c r="L716" s="7">
        <v>253865.55</v>
      </c>
      <c r="M716" s="7">
        <v>1721000</v>
      </c>
      <c r="N716" s="7">
        <v>0</v>
      </c>
      <c r="O716" s="7">
        <v>1439134.45</v>
      </c>
      <c r="P716" s="7">
        <v>479156</v>
      </c>
      <c r="Q716" s="7">
        <v>959978.45</v>
      </c>
      <c r="R716" s="7">
        <v>0</v>
      </c>
      <c r="S716" s="7">
        <v>25</v>
      </c>
      <c r="T716" s="7">
        <v>0</v>
      </c>
      <c r="U716" s="7">
        <v>0</v>
      </c>
      <c r="V716" s="9">
        <v>46189.853409826392</v>
      </c>
    </row>
    <row r="717" spans="1:22" x14ac:dyDescent="0.2">
      <c r="A717" s="8">
        <v>46160</v>
      </c>
      <c r="B717" s="7">
        <v>24</v>
      </c>
      <c r="C717" s="7">
        <v>1.4</v>
      </c>
      <c r="D717" s="7">
        <v>81055.672000000006</v>
      </c>
      <c r="E717" s="7">
        <v>0</v>
      </c>
      <c r="F717" s="7">
        <v>1945336.15</v>
      </c>
      <c r="G717" s="7">
        <v>0</v>
      </c>
      <c r="H717" s="7">
        <v>0</v>
      </c>
      <c r="I717" s="7">
        <v>1945336.15</v>
      </c>
      <c r="J717" s="7">
        <v>68000</v>
      </c>
      <c r="K717" s="7">
        <v>0</v>
      </c>
      <c r="L717" s="7">
        <v>349663.85</v>
      </c>
      <c r="M717" s="7">
        <v>2363000</v>
      </c>
      <c r="N717" s="7">
        <v>0</v>
      </c>
      <c r="O717" s="7">
        <v>1945336.15</v>
      </c>
      <c r="P717" s="7">
        <v>604308</v>
      </c>
      <c r="Q717" s="7">
        <v>1341028.1499999999</v>
      </c>
      <c r="R717" s="7">
        <v>0</v>
      </c>
      <c r="S717" s="7">
        <v>33</v>
      </c>
      <c r="T717" s="7">
        <v>0</v>
      </c>
      <c r="U717" s="7">
        <v>0</v>
      </c>
      <c r="V717" s="9">
        <v>46189.853409826392</v>
      </c>
    </row>
    <row r="718" spans="1:22" x14ac:dyDescent="0.2">
      <c r="A718" s="8">
        <v>46161</v>
      </c>
      <c r="B718" s="7">
        <v>28</v>
      </c>
      <c r="C718" s="7">
        <v>2</v>
      </c>
      <c r="D718" s="7">
        <v>133388.35500000001</v>
      </c>
      <c r="E718" s="7">
        <v>0</v>
      </c>
      <c r="F718" s="7">
        <v>3734873.95</v>
      </c>
      <c r="G718" s="7">
        <v>0</v>
      </c>
      <c r="H718" s="7">
        <v>0</v>
      </c>
      <c r="I718" s="7">
        <v>3734873.95</v>
      </c>
      <c r="J718" s="7">
        <v>76000</v>
      </c>
      <c r="K718" s="7">
        <v>0</v>
      </c>
      <c r="L718" s="7">
        <v>709626.05</v>
      </c>
      <c r="M718" s="7">
        <v>4520500</v>
      </c>
      <c r="N718" s="7">
        <v>0</v>
      </c>
      <c r="O718" s="7">
        <v>3734873.95</v>
      </c>
      <c r="P718" s="7">
        <v>942827</v>
      </c>
      <c r="Q718" s="7">
        <v>2792046.95</v>
      </c>
      <c r="R718" s="7">
        <v>0</v>
      </c>
      <c r="S718" s="7">
        <v>56</v>
      </c>
      <c r="T718" s="7">
        <v>0</v>
      </c>
      <c r="U718" s="7">
        <v>0</v>
      </c>
      <c r="V718" s="9">
        <v>46189.853409826392</v>
      </c>
    </row>
    <row r="719" spans="1:22" x14ac:dyDescent="0.2">
      <c r="A719" s="8">
        <v>46162</v>
      </c>
      <c r="B719" s="7">
        <v>31</v>
      </c>
      <c r="C719" s="7">
        <v>3.5</v>
      </c>
      <c r="D719" s="7">
        <v>211925.182</v>
      </c>
      <c r="E719" s="7">
        <v>0</v>
      </c>
      <c r="F719" s="7">
        <v>6796571.4199999999</v>
      </c>
      <c r="G719" s="7">
        <v>-226890.75</v>
      </c>
      <c r="H719" s="7">
        <v>0</v>
      </c>
      <c r="I719" s="7">
        <v>6569680.6699999999</v>
      </c>
      <c r="J719" s="7">
        <v>156000</v>
      </c>
      <c r="K719" s="7">
        <v>0</v>
      </c>
      <c r="L719" s="7">
        <v>1197319.33</v>
      </c>
      <c r="M719" s="7">
        <v>7923000</v>
      </c>
      <c r="N719" s="7">
        <v>0</v>
      </c>
      <c r="O719" s="7">
        <v>6569680.6699999999</v>
      </c>
      <c r="P719" s="7">
        <v>1789415</v>
      </c>
      <c r="Q719" s="7">
        <v>4780265.67</v>
      </c>
      <c r="R719" s="7">
        <v>0</v>
      </c>
      <c r="S719" s="7">
        <v>108</v>
      </c>
      <c r="T719" s="7">
        <v>0</v>
      </c>
      <c r="U719" s="7">
        <v>0</v>
      </c>
      <c r="V719" s="9">
        <v>46189.853409826392</v>
      </c>
    </row>
    <row r="720" spans="1:22" x14ac:dyDescent="0.2">
      <c r="A720" s="8">
        <v>46163</v>
      </c>
      <c r="B720" s="7">
        <v>14</v>
      </c>
      <c r="C720" s="7">
        <v>1.8</v>
      </c>
      <c r="D720" s="7">
        <v>104681.872</v>
      </c>
      <c r="E720" s="7">
        <v>-1</v>
      </c>
      <c r="F720" s="7">
        <v>1793277.31</v>
      </c>
      <c r="G720" s="7">
        <v>0</v>
      </c>
      <c r="H720" s="7">
        <v>-210084.03</v>
      </c>
      <c r="I720" s="7">
        <v>1583193.28</v>
      </c>
      <c r="J720" s="7">
        <v>80000</v>
      </c>
      <c r="K720" s="7">
        <v>0</v>
      </c>
      <c r="L720" s="7">
        <v>300806.71999999997</v>
      </c>
      <c r="M720" s="7">
        <v>1964000</v>
      </c>
      <c r="N720" s="7">
        <v>0</v>
      </c>
      <c r="O720" s="7">
        <v>1583193.28</v>
      </c>
      <c r="P720" s="7">
        <v>417270</v>
      </c>
      <c r="Q720" s="7">
        <v>1165923.28</v>
      </c>
      <c r="R720" s="7">
        <v>0</v>
      </c>
      <c r="S720" s="7">
        <v>26</v>
      </c>
      <c r="T720" s="7">
        <v>0</v>
      </c>
      <c r="U720" s="7">
        <v>0</v>
      </c>
      <c r="V720" s="9">
        <v>46189.853409826392</v>
      </c>
    </row>
    <row r="721" spans="1:22" x14ac:dyDescent="0.2">
      <c r="A721" s="8">
        <v>46164</v>
      </c>
      <c r="B721" s="7">
        <v>26</v>
      </c>
      <c r="C721" s="7">
        <v>1.9</v>
      </c>
      <c r="D721" s="7">
        <v>110343.245</v>
      </c>
      <c r="E721" s="7">
        <v>0</v>
      </c>
      <c r="F721" s="7">
        <v>2868924.37</v>
      </c>
      <c r="G721" s="7">
        <v>0</v>
      </c>
      <c r="H721" s="7">
        <v>0</v>
      </c>
      <c r="I721" s="7">
        <v>2868924.37</v>
      </c>
      <c r="J721" s="7">
        <v>12000</v>
      </c>
      <c r="K721" s="7">
        <v>0</v>
      </c>
      <c r="L721" s="7">
        <v>515075.63</v>
      </c>
      <c r="M721" s="7">
        <v>3396000</v>
      </c>
      <c r="N721" s="7">
        <v>0</v>
      </c>
      <c r="O721" s="7">
        <v>2868924.37</v>
      </c>
      <c r="P721" s="7">
        <v>727864</v>
      </c>
      <c r="Q721" s="7">
        <v>2141060.37</v>
      </c>
      <c r="R721" s="7">
        <v>0</v>
      </c>
      <c r="S721" s="7">
        <v>50</v>
      </c>
      <c r="T721" s="7">
        <v>0</v>
      </c>
      <c r="U721" s="7">
        <v>0</v>
      </c>
      <c r="V721" s="9">
        <v>46189.853409826392</v>
      </c>
    </row>
    <row r="722" spans="1:22" x14ac:dyDescent="0.2">
      <c r="A722" s="8">
        <v>46165</v>
      </c>
      <c r="B722" s="7">
        <v>25</v>
      </c>
      <c r="C722" s="7">
        <v>1.9</v>
      </c>
      <c r="D722" s="7">
        <v>145068.90700000001</v>
      </c>
      <c r="E722" s="7">
        <v>0</v>
      </c>
      <c r="F722" s="7">
        <v>3626722.69</v>
      </c>
      <c r="G722" s="7">
        <v>0</v>
      </c>
      <c r="H722" s="7">
        <v>0</v>
      </c>
      <c r="I722" s="7">
        <v>3626722.69</v>
      </c>
      <c r="J722" s="7">
        <v>40000</v>
      </c>
      <c r="K722" s="7">
        <v>0</v>
      </c>
      <c r="L722" s="7">
        <v>666277.31000000006</v>
      </c>
      <c r="M722" s="7">
        <v>4333000</v>
      </c>
      <c r="N722" s="7">
        <v>0</v>
      </c>
      <c r="O722" s="7">
        <v>3626722.69</v>
      </c>
      <c r="P722" s="7">
        <v>1381798</v>
      </c>
      <c r="Q722" s="7">
        <v>2244924.69</v>
      </c>
      <c r="R722" s="7">
        <v>0</v>
      </c>
      <c r="S722" s="7">
        <v>47</v>
      </c>
      <c r="T722" s="7">
        <v>0</v>
      </c>
      <c r="U722" s="7">
        <v>0</v>
      </c>
      <c r="V722" s="9">
        <v>46189.853409826392</v>
      </c>
    </row>
    <row r="723" spans="1:22" x14ac:dyDescent="0.2">
      <c r="A723" s="8">
        <v>46166</v>
      </c>
      <c r="B723" s="7">
        <v>11</v>
      </c>
      <c r="C723" s="7">
        <v>2.2000000000000002</v>
      </c>
      <c r="D723" s="7">
        <v>169496.56099999999</v>
      </c>
      <c r="E723" s="7">
        <v>-1</v>
      </c>
      <c r="F723" s="7">
        <v>1864462.18</v>
      </c>
      <c r="G723" s="7">
        <v>0</v>
      </c>
      <c r="H723" s="7">
        <v>-16806.73</v>
      </c>
      <c r="I723" s="7">
        <v>1847655.45</v>
      </c>
      <c r="J723" s="7">
        <v>24000</v>
      </c>
      <c r="K723" s="7">
        <v>0</v>
      </c>
      <c r="L723" s="7">
        <v>292344.55</v>
      </c>
      <c r="M723" s="7">
        <v>2164000</v>
      </c>
      <c r="N723" s="7">
        <v>0</v>
      </c>
      <c r="O723" s="7">
        <v>1847655.45</v>
      </c>
      <c r="P723" s="7">
        <v>726699</v>
      </c>
      <c r="Q723" s="7">
        <v>1120956.45</v>
      </c>
      <c r="R723" s="7">
        <v>0</v>
      </c>
      <c r="S723" s="7">
        <v>23</v>
      </c>
      <c r="T723" s="7">
        <v>0</v>
      </c>
      <c r="U723" s="7">
        <v>0</v>
      </c>
      <c r="V723" s="9">
        <v>46189.853409826392</v>
      </c>
    </row>
    <row r="724" spans="1:22" x14ac:dyDescent="0.2">
      <c r="A724" s="8">
        <v>46167</v>
      </c>
      <c r="B724" s="7">
        <v>21</v>
      </c>
      <c r="C724" s="7">
        <v>2</v>
      </c>
      <c r="D724" s="7">
        <v>127350.94</v>
      </c>
      <c r="E724" s="7">
        <v>0</v>
      </c>
      <c r="F724" s="7">
        <v>2733193.28</v>
      </c>
      <c r="G724" s="7">
        <v>0</v>
      </c>
      <c r="H724" s="7">
        <v>0</v>
      </c>
      <c r="I724" s="7">
        <v>2733193.28</v>
      </c>
      <c r="J724" s="7">
        <v>56000</v>
      </c>
      <c r="K724" s="7">
        <v>0</v>
      </c>
      <c r="L724" s="7">
        <v>519306.72</v>
      </c>
      <c r="M724" s="7">
        <v>3308500</v>
      </c>
      <c r="N724" s="7">
        <v>0</v>
      </c>
      <c r="O724" s="7">
        <v>2733193.28</v>
      </c>
      <c r="P724" s="7">
        <v>785611</v>
      </c>
      <c r="Q724" s="7">
        <v>1947582.28</v>
      </c>
      <c r="R724" s="7">
        <v>0</v>
      </c>
      <c r="S724" s="7">
        <v>44</v>
      </c>
      <c r="T724" s="7">
        <v>0</v>
      </c>
      <c r="U724" s="7">
        <v>0</v>
      </c>
      <c r="V724" s="9">
        <v>46189.853409826392</v>
      </c>
    </row>
    <row r="725" spans="1:22" x14ac:dyDescent="0.2">
      <c r="A725" s="8">
        <v>46168</v>
      </c>
      <c r="B725" s="7">
        <v>21</v>
      </c>
      <c r="C725" s="7">
        <v>1.6</v>
      </c>
      <c r="D725" s="7">
        <v>99625.85</v>
      </c>
      <c r="E725" s="7">
        <v>0</v>
      </c>
      <c r="F725" s="7">
        <v>2092142.87</v>
      </c>
      <c r="G725" s="7">
        <v>0</v>
      </c>
      <c r="H725" s="7">
        <v>0</v>
      </c>
      <c r="I725" s="7">
        <v>2092142.87</v>
      </c>
      <c r="J725" s="7">
        <v>24000</v>
      </c>
      <c r="K725" s="7">
        <v>0</v>
      </c>
      <c r="L725" s="7">
        <v>390857.13</v>
      </c>
      <c r="M725" s="7">
        <v>2507000</v>
      </c>
      <c r="N725" s="7">
        <v>58823.53</v>
      </c>
      <c r="O725" s="7">
        <v>2033319.34</v>
      </c>
      <c r="P725" s="7">
        <v>576482</v>
      </c>
      <c r="Q725" s="7">
        <v>1456837.34</v>
      </c>
      <c r="R725" s="7">
        <v>0</v>
      </c>
      <c r="S725" s="7">
        <v>34</v>
      </c>
      <c r="T725" s="7">
        <v>0</v>
      </c>
      <c r="U725" s="7">
        <v>0</v>
      </c>
      <c r="V725" s="9">
        <v>46189.853409826392</v>
      </c>
    </row>
    <row r="726" spans="1:22" x14ac:dyDescent="0.2">
      <c r="A726" s="8">
        <v>46169</v>
      </c>
      <c r="B726" s="7">
        <v>34</v>
      </c>
      <c r="C726" s="7">
        <v>2.2000000000000002</v>
      </c>
      <c r="D726" s="7">
        <v>152125.58499999999</v>
      </c>
      <c r="E726" s="7">
        <v>0</v>
      </c>
      <c r="F726" s="7">
        <v>5172269.92</v>
      </c>
      <c r="G726" s="7">
        <v>0</v>
      </c>
      <c r="H726" s="7">
        <v>0</v>
      </c>
      <c r="I726" s="7">
        <v>5172269.92</v>
      </c>
      <c r="J726" s="7">
        <v>92000</v>
      </c>
      <c r="K726" s="7">
        <v>0</v>
      </c>
      <c r="L726" s="7">
        <v>982731.08</v>
      </c>
      <c r="M726" s="7">
        <v>6247001</v>
      </c>
      <c r="N726" s="7">
        <v>75631.25</v>
      </c>
      <c r="O726" s="7">
        <v>5096638.67</v>
      </c>
      <c r="P726" s="7">
        <v>1654871</v>
      </c>
      <c r="Q726" s="7">
        <v>3441767.67</v>
      </c>
      <c r="R726" s="7">
        <v>0</v>
      </c>
      <c r="S726" s="7">
        <v>76</v>
      </c>
      <c r="T726" s="7">
        <v>0</v>
      </c>
      <c r="U726" s="7">
        <v>0</v>
      </c>
      <c r="V726" s="9">
        <v>46189.853409826392</v>
      </c>
    </row>
    <row r="727" spans="1:22" x14ac:dyDescent="0.2">
      <c r="A727" s="8">
        <v>46170</v>
      </c>
      <c r="B727" s="7">
        <v>28</v>
      </c>
      <c r="C727" s="7">
        <v>3.9</v>
      </c>
      <c r="D727" s="7">
        <v>262950.179</v>
      </c>
      <c r="E727" s="7">
        <v>-29</v>
      </c>
      <c r="F727" s="7">
        <v>7781512.5199999996</v>
      </c>
      <c r="G727" s="7">
        <v>-255041.95</v>
      </c>
      <c r="H727" s="7">
        <v>-2275210.08</v>
      </c>
      <c r="I727" s="7">
        <v>5251260.49</v>
      </c>
      <c r="J727" s="7">
        <v>28000</v>
      </c>
      <c r="K727" s="7">
        <v>0</v>
      </c>
      <c r="L727" s="7">
        <v>997739.51</v>
      </c>
      <c r="M727" s="7">
        <v>6277000</v>
      </c>
      <c r="N727" s="7">
        <v>0</v>
      </c>
      <c r="O727" s="7">
        <v>5251260.49</v>
      </c>
      <c r="P727" s="7">
        <v>2161801</v>
      </c>
      <c r="Q727" s="7">
        <v>3089459.49</v>
      </c>
      <c r="R727" s="7">
        <v>0</v>
      </c>
      <c r="S727" s="7">
        <v>81</v>
      </c>
      <c r="T727" s="7">
        <v>0</v>
      </c>
      <c r="U727" s="7">
        <v>0</v>
      </c>
      <c r="V727" s="9">
        <v>46189.853409826392</v>
      </c>
    </row>
    <row r="728" spans="1:22" x14ac:dyDescent="0.2">
      <c r="A728" s="8">
        <v>46171</v>
      </c>
      <c r="B728" s="7">
        <v>29</v>
      </c>
      <c r="C728" s="7">
        <v>1.8</v>
      </c>
      <c r="D728" s="7">
        <v>80991.017000000007</v>
      </c>
      <c r="E728" s="7">
        <v>0</v>
      </c>
      <c r="F728" s="7">
        <v>2348739.5</v>
      </c>
      <c r="G728" s="7">
        <v>0</v>
      </c>
      <c r="H728" s="7">
        <v>0</v>
      </c>
      <c r="I728" s="7">
        <v>2348739.5</v>
      </c>
      <c r="J728" s="7">
        <v>40000</v>
      </c>
      <c r="K728" s="7">
        <v>0</v>
      </c>
      <c r="L728" s="7">
        <v>427260.5</v>
      </c>
      <c r="M728" s="7">
        <v>2816000</v>
      </c>
      <c r="N728" s="7">
        <v>0</v>
      </c>
      <c r="O728" s="7">
        <v>2348739.5</v>
      </c>
      <c r="P728" s="7">
        <v>712672</v>
      </c>
      <c r="Q728" s="7">
        <v>1636067.5</v>
      </c>
      <c r="R728" s="7">
        <v>0</v>
      </c>
      <c r="S728" s="7">
        <v>51</v>
      </c>
      <c r="T728" s="7">
        <v>0</v>
      </c>
      <c r="U728" s="7">
        <v>0</v>
      </c>
      <c r="V728" s="9">
        <v>46189.853409826392</v>
      </c>
    </row>
    <row r="729" spans="1:22" x14ac:dyDescent="0.2">
      <c r="A729" s="8">
        <v>46172</v>
      </c>
      <c r="B729" s="7">
        <v>25</v>
      </c>
      <c r="C729" s="7">
        <v>2.2000000000000002</v>
      </c>
      <c r="D729" s="7">
        <v>106453.781</v>
      </c>
      <c r="E729" s="7">
        <v>0</v>
      </c>
      <c r="F729" s="7">
        <v>2661344.5299999998</v>
      </c>
      <c r="G729" s="7">
        <v>0</v>
      </c>
      <c r="H729" s="7">
        <v>0</v>
      </c>
      <c r="I729" s="7">
        <v>2661344.5299999998</v>
      </c>
      <c r="J729" s="7">
        <v>24000</v>
      </c>
      <c r="K729" s="7">
        <v>0</v>
      </c>
      <c r="L729" s="7">
        <v>505655.47</v>
      </c>
      <c r="M729" s="7">
        <v>3191000</v>
      </c>
      <c r="N729" s="7">
        <v>0</v>
      </c>
      <c r="O729" s="7">
        <v>2661344.5299999998</v>
      </c>
      <c r="P729" s="7">
        <v>758939</v>
      </c>
      <c r="Q729" s="7">
        <v>1902405.53</v>
      </c>
      <c r="R729" s="7">
        <v>0</v>
      </c>
      <c r="S729" s="7">
        <v>56</v>
      </c>
      <c r="T729" s="7">
        <v>0</v>
      </c>
      <c r="U729" s="7">
        <v>0</v>
      </c>
      <c r="V729" s="9">
        <v>46189.853409826392</v>
      </c>
    </row>
    <row r="730" spans="1:22" x14ac:dyDescent="0.2">
      <c r="A730" s="8">
        <v>46173</v>
      </c>
      <c r="B730" s="7">
        <v>3</v>
      </c>
      <c r="C730" s="7">
        <v>1.3</v>
      </c>
      <c r="D730" s="7">
        <v>141456.58300000001</v>
      </c>
      <c r="E730" s="7">
        <v>0</v>
      </c>
      <c r="F730" s="7">
        <v>424369.75</v>
      </c>
      <c r="G730" s="7">
        <v>0</v>
      </c>
      <c r="H730" s="7">
        <v>0</v>
      </c>
      <c r="I730" s="7">
        <v>424369.75</v>
      </c>
      <c r="J730" s="7">
        <v>40000</v>
      </c>
      <c r="K730" s="7">
        <v>0</v>
      </c>
      <c r="L730" s="7">
        <v>80630.25</v>
      </c>
      <c r="M730" s="7">
        <v>545000</v>
      </c>
      <c r="N730" s="7">
        <v>0</v>
      </c>
      <c r="O730" s="7">
        <v>424369.75</v>
      </c>
      <c r="P730" s="7">
        <v>129467</v>
      </c>
      <c r="Q730" s="7">
        <v>294902.75</v>
      </c>
      <c r="R730" s="7">
        <v>0</v>
      </c>
      <c r="S730" s="7">
        <v>4</v>
      </c>
      <c r="T730" s="7">
        <v>0</v>
      </c>
      <c r="U730" s="7">
        <v>0</v>
      </c>
      <c r="V730" s="9">
        <v>46189.853409826392</v>
      </c>
    </row>
    <row r="731" spans="1:22" x14ac:dyDescent="0.2">
      <c r="A731" s="8">
        <v>46174</v>
      </c>
      <c r="B731" s="7">
        <v>30</v>
      </c>
      <c r="C731" s="7">
        <v>2.7</v>
      </c>
      <c r="D731" s="7">
        <v>212480.39199999999</v>
      </c>
      <c r="E731" s="7">
        <v>-1</v>
      </c>
      <c r="F731" s="7">
        <v>6594579.7999999998</v>
      </c>
      <c r="G731" s="7">
        <v>-220168.04</v>
      </c>
      <c r="H731" s="7">
        <v>-84033.61</v>
      </c>
      <c r="I731" s="7">
        <v>6290378.1500000004</v>
      </c>
      <c r="J731" s="7">
        <v>36000</v>
      </c>
      <c r="K731" s="7">
        <v>0</v>
      </c>
      <c r="L731" s="7">
        <v>1120121.8500000001</v>
      </c>
      <c r="M731" s="7">
        <v>7446500</v>
      </c>
      <c r="N731" s="7">
        <v>0</v>
      </c>
      <c r="O731" s="7">
        <v>6290378.1500000004</v>
      </c>
      <c r="P731" s="7">
        <v>2293636</v>
      </c>
      <c r="Q731" s="7">
        <v>3996742.15</v>
      </c>
      <c r="R731" s="7">
        <v>0</v>
      </c>
      <c r="S731" s="7">
        <v>79</v>
      </c>
      <c r="T731" s="7">
        <v>0</v>
      </c>
      <c r="U731" s="7">
        <v>0</v>
      </c>
      <c r="V731" s="9">
        <v>46189.853409826392</v>
      </c>
    </row>
    <row r="732" spans="1:22" x14ac:dyDescent="0.2">
      <c r="A732" s="8">
        <v>46175</v>
      </c>
      <c r="B732" s="7">
        <v>26</v>
      </c>
      <c r="C732" s="7">
        <v>2.1</v>
      </c>
      <c r="D732" s="7">
        <v>161743.69699999999</v>
      </c>
      <c r="E732" s="7">
        <v>-2</v>
      </c>
      <c r="F732" s="7">
        <v>4249033.6100000003</v>
      </c>
      <c r="G732" s="7">
        <v>-43697.48</v>
      </c>
      <c r="H732" s="7">
        <v>-196638.66</v>
      </c>
      <c r="I732" s="7">
        <v>4008697.47</v>
      </c>
      <c r="J732" s="7">
        <v>48000</v>
      </c>
      <c r="K732" s="7">
        <v>0</v>
      </c>
      <c r="L732" s="7">
        <v>749302.53</v>
      </c>
      <c r="M732" s="7">
        <v>4806000</v>
      </c>
      <c r="N732" s="7">
        <v>0</v>
      </c>
      <c r="O732" s="7">
        <v>4008697.47</v>
      </c>
      <c r="P732" s="7">
        <v>1169602</v>
      </c>
      <c r="Q732" s="7">
        <v>2839095.47</v>
      </c>
      <c r="R732" s="7">
        <v>0</v>
      </c>
      <c r="S732" s="7">
        <v>53</v>
      </c>
      <c r="T732" s="7">
        <v>0</v>
      </c>
      <c r="U732" s="7">
        <v>0</v>
      </c>
      <c r="V732" s="9">
        <v>46189.853409826392</v>
      </c>
    </row>
    <row r="733" spans="1:22" x14ac:dyDescent="0.2">
      <c r="A733" s="8">
        <v>46176</v>
      </c>
      <c r="B733" s="7">
        <v>27</v>
      </c>
      <c r="C733" s="7">
        <v>1.5</v>
      </c>
      <c r="D733" s="7">
        <v>105241.20699999999</v>
      </c>
      <c r="E733" s="7">
        <v>0</v>
      </c>
      <c r="F733" s="7">
        <v>2841512.6</v>
      </c>
      <c r="G733" s="7">
        <v>0</v>
      </c>
      <c r="H733" s="7">
        <v>0</v>
      </c>
      <c r="I733" s="7">
        <v>2841512.6</v>
      </c>
      <c r="J733" s="7">
        <v>24000</v>
      </c>
      <c r="K733" s="7">
        <v>0</v>
      </c>
      <c r="L733" s="7">
        <v>528487.4</v>
      </c>
      <c r="M733" s="7">
        <v>3394000</v>
      </c>
      <c r="N733" s="7">
        <v>0</v>
      </c>
      <c r="O733" s="7">
        <v>2841512.6</v>
      </c>
      <c r="P733" s="7">
        <v>873117</v>
      </c>
      <c r="Q733" s="7">
        <v>1968395.6</v>
      </c>
      <c r="R733" s="7">
        <v>0</v>
      </c>
      <c r="S733" s="7">
        <v>40</v>
      </c>
      <c r="T733" s="7">
        <v>0</v>
      </c>
      <c r="U733" s="7">
        <v>0</v>
      </c>
      <c r="V733" s="9">
        <v>46189.853409826392</v>
      </c>
    </row>
    <row r="734" spans="1:22" x14ac:dyDescent="0.2">
      <c r="A734" s="8">
        <v>46177</v>
      </c>
      <c r="B734" s="7">
        <v>32</v>
      </c>
      <c r="C734" s="7">
        <v>2.5</v>
      </c>
      <c r="D734" s="7">
        <v>194126.31200000001</v>
      </c>
      <c r="E734" s="7">
        <v>-3</v>
      </c>
      <c r="F734" s="7">
        <v>6662882.3399999999</v>
      </c>
      <c r="G734" s="7">
        <v>-5462.18</v>
      </c>
      <c r="H734" s="7">
        <v>-445378.14</v>
      </c>
      <c r="I734" s="7">
        <v>6212042.0199999996</v>
      </c>
      <c r="J734" s="7">
        <v>92000</v>
      </c>
      <c r="K734" s="7">
        <v>0</v>
      </c>
      <c r="L734" s="7">
        <v>1150457.98</v>
      </c>
      <c r="M734" s="7">
        <v>7454500</v>
      </c>
      <c r="N734" s="7">
        <v>0</v>
      </c>
      <c r="O734" s="7">
        <v>6212042.0199999996</v>
      </c>
      <c r="P734" s="7">
        <v>2278408</v>
      </c>
      <c r="Q734" s="7">
        <v>3933634.02</v>
      </c>
      <c r="R734" s="7">
        <v>285000</v>
      </c>
      <c r="S734" s="7">
        <v>84</v>
      </c>
      <c r="T734" s="7">
        <v>0</v>
      </c>
      <c r="U734" s="7">
        <v>285000</v>
      </c>
      <c r="V734" s="9">
        <v>46189.853409826392</v>
      </c>
    </row>
    <row r="735" spans="1:22" x14ac:dyDescent="0.2">
      <c r="A735" s="8">
        <v>46178</v>
      </c>
      <c r="B735" s="7">
        <v>35</v>
      </c>
      <c r="C735" s="7">
        <v>2.4</v>
      </c>
      <c r="D735" s="7">
        <v>185621.48800000001</v>
      </c>
      <c r="E735" s="7">
        <v>0</v>
      </c>
      <c r="F735" s="7">
        <v>6564117.6100000003</v>
      </c>
      <c r="G735" s="7">
        <v>-67365.52</v>
      </c>
      <c r="H735" s="7">
        <v>0</v>
      </c>
      <c r="I735" s="7">
        <v>6496752.0899999999</v>
      </c>
      <c r="J735" s="7">
        <v>100000</v>
      </c>
      <c r="K735" s="7">
        <v>0</v>
      </c>
      <c r="L735" s="7">
        <v>1221747.9099999999</v>
      </c>
      <c r="M735" s="7">
        <v>7818500</v>
      </c>
      <c r="N735" s="7">
        <v>46218.48</v>
      </c>
      <c r="O735" s="7">
        <v>6450533.6100000003</v>
      </c>
      <c r="P735" s="7">
        <v>2022839</v>
      </c>
      <c r="Q735" s="7">
        <v>4427694.6100000003</v>
      </c>
      <c r="R735" s="7">
        <v>0</v>
      </c>
      <c r="S735" s="7">
        <v>84</v>
      </c>
      <c r="T735" s="7">
        <v>0</v>
      </c>
      <c r="U735" s="7">
        <v>0</v>
      </c>
      <c r="V735" s="9">
        <v>46189.853409826392</v>
      </c>
    </row>
    <row r="736" spans="1:22" x14ac:dyDescent="0.2">
      <c r="A736" s="8">
        <v>46179</v>
      </c>
      <c r="B736" s="7">
        <v>37</v>
      </c>
      <c r="C736" s="7">
        <v>2.4</v>
      </c>
      <c r="D736" s="7">
        <v>146851.01</v>
      </c>
      <c r="E736" s="7">
        <v>0</v>
      </c>
      <c r="F736" s="7">
        <v>5444831.9299999997</v>
      </c>
      <c r="G736" s="7">
        <v>-11344.53</v>
      </c>
      <c r="H736" s="7">
        <v>0</v>
      </c>
      <c r="I736" s="7">
        <v>5433487.4000000004</v>
      </c>
      <c r="J736" s="7">
        <v>92000</v>
      </c>
      <c r="K736" s="7">
        <v>0</v>
      </c>
      <c r="L736" s="7">
        <v>982012.6</v>
      </c>
      <c r="M736" s="7">
        <v>6507500</v>
      </c>
      <c r="N736" s="7">
        <v>0</v>
      </c>
      <c r="O736" s="7">
        <v>5433487.4000000004</v>
      </c>
      <c r="P736" s="7">
        <v>1545951</v>
      </c>
      <c r="Q736" s="7">
        <v>3887536.4</v>
      </c>
      <c r="R736" s="7">
        <v>0</v>
      </c>
      <c r="S736" s="7">
        <v>89</v>
      </c>
      <c r="T736" s="7">
        <v>0</v>
      </c>
      <c r="U736" s="7">
        <v>0</v>
      </c>
      <c r="V736" s="9">
        <v>46189.853409826392</v>
      </c>
    </row>
    <row r="737" spans="1:22" x14ac:dyDescent="0.2">
      <c r="A737" s="8">
        <v>46180</v>
      </c>
      <c r="B737" s="7">
        <v>19</v>
      </c>
      <c r="C737" s="7">
        <v>2.1</v>
      </c>
      <c r="D737" s="7">
        <v>131076.95699999999</v>
      </c>
      <c r="E737" s="7">
        <v>0</v>
      </c>
      <c r="F737" s="7">
        <v>2490462.2000000002</v>
      </c>
      <c r="G737" s="7">
        <v>0</v>
      </c>
      <c r="H737" s="7">
        <v>0</v>
      </c>
      <c r="I737" s="7">
        <v>2490462.2000000002</v>
      </c>
      <c r="J737" s="7">
        <v>100000</v>
      </c>
      <c r="K737" s="7">
        <v>0</v>
      </c>
      <c r="L737" s="7">
        <v>466537.8</v>
      </c>
      <c r="M737" s="7">
        <v>3057000</v>
      </c>
      <c r="N737" s="7">
        <v>0</v>
      </c>
      <c r="O737" s="7">
        <v>2490462.2000000002</v>
      </c>
      <c r="P737" s="7">
        <v>642082</v>
      </c>
      <c r="Q737" s="7">
        <v>1848380.2</v>
      </c>
      <c r="R737" s="7">
        <v>0</v>
      </c>
      <c r="S737" s="7">
        <v>40</v>
      </c>
      <c r="T737" s="7">
        <v>0</v>
      </c>
      <c r="U737" s="7">
        <v>0</v>
      </c>
      <c r="V737" s="9">
        <v>46189.853409826392</v>
      </c>
    </row>
    <row r="738" spans="1:22" x14ac:dyDescent="0.2">
      <c r="A738" s="8">
        <v>46181</v>
      </c>
      <c r="B738" s="7">
        <v>11</v>
      </c>
      <c r="C738" s="7">
        <v>2.6</v>
      </c>
      <c r="D738" s="7">
        <v>131294.883</v>
      </c>
      <c r="E738" s="7">
        <v>0</v>
      </c>
      <c r="F738" s="7">
        <v>1444243.72</v>
      </c>
      <c r="G738" s="7">
        <v>0</v>
      </c>
      <c r="H738" s="7">
        <v>0</v>
      </c>
      <c r="I738" s="7">
        <v>1444243.72</v>
      </c>
      <c r="J738" s="7">
        <v>40000</v>
      </c>
      <c r="K738" s="7">
        <v>0</v>
      </c>
      <c r="L738" s="7">
        <v>267756.28000000003</v>
      </c>
      <c r="M738" s="7">
        <v>1752000</v>
      </c>
      <c r="N738" s="7">
        <v>0</v>
      </c>
      <c r="O738" s="7">
        <v>1444243.72</v>
      </c>
      <c r="P738" s="7">
        <v>335385</v>
      </c>
      <c r="Q738" s="7">
        <v>1108858.72</v>
      </c>
      <c r="R738" s="7">
        <v>0</v>
      </c>
      <c r="S738" s="7">
        <v>29</v>
      </c>
      <c r="T738" s="7">
        <v>0</v>
      </c>
      <c r="U738" s="7">
        <v>0</v>
      </c>
      <c r="V738" s="9">
        <v>46189.853409826392</v>
      </c>
    </row>
    <row r="739" spans="1:22" x14ac:dyDescent="0.2">
      <c r="A739" s="8">
        <v>46182</v>
      </c>
      <c r="B739" s="7">
        <v>29</v>
      </c>
      <c r="C739" s="7">
        <v>2.2000000000000002</v>
      </c>
      <c r="D739" s="7">
        <v>133927.84700000001</v>
      </c>
      <c r="E739" s="7">
        <v>-2</v>
      </c>
      <c r="F739" s="7">
        <v>4607689.09</v>
      </c>
      <c r="G739" s="7">
        <v>-270000</v>
      </c>
      <c r="H739" s="7">
        <v>-453781.51</v>
      </c>
      <c r="I739" s="7">
        <v>3883907.58</v>
      </c>
      <c r="J739" s="7">
        <v>88000</v>
      </c>
      <c r="K739" s="7">
        <v>0</v>
      </c>
      <c r="L739" s="7">
        <v>716092.42</v>
      </c>
      <c r="M739" s="7">
        <v>4688000</v>
      </c>
      <c r="N739" s="7">
        <v>0</v>
      </c>
      <c r="O739" s="7">
        <v>3883907.58</v>
      </c>
      <c r="P739" s="7">
        <v>1257310</v>
      </c>
      <c r="Q739" s="7">
        <v>2626597.58</v>
      </c>
      <c r="R739" s="7">
        <v>0</v>
      </c>
      <c r="S739" s="7">
        <v>63</v>
      </c>
      <c r="T739" s="7">
        <v>0</v>
      </c>
      <c r="U739" s="7">
        <v>0</v>
      </c>
      <c r="V739" s="9">
        <v>46189.853409826392</v>
      </c>
    </row>
    <row r="740" spans="1:22" x14ac:dyDescent="0.2">
      <c r="A740" s="8">
        <v>46183</v>
      </c>
      <c r="B740" s="7">
        <v>31</v>
      </c>
      <c r="C740" s="7">
        <v>4</v>
      </c>
      <c r="D740" s="7">
        <v>210187.37599999999</v>
      </c>
      <c r="E740" s="7">
        <v>0</v>
      </c>
      <c r="F740" s="7">
        <v>7356984.9800000004</v>
      </c>
      <c r="G740" s="7">
        <v>-841176.3</v>
      </c>
      <c r="H740" s="7">
        <v>0</v>
      </c>
      <c r="I740" s="7">
        <v>6515808.6799999997</v>
      </c>
      <c r="J740" s="7">
        <v>96000</v>
      </c>
      <c r="K740" s="7">
        <v>0</v>
      </c>
      <c r="L740" s="7">
        <v>1219193.32</v>
      </c>
      <c r="M740" s="7">
        <v>7831002</v>
      </c>
      <c r="N740" s="7">
        <v>2</v>
      </c>
      <c r="O740" s="7">
        <v>6515806.6799999997</v>
      </c>
      <c r="P740" s="7">
        <v>1899176</v>
      </c>
      <c r="Q740" s="7">
        <v>4616630.68</v>
      </c>
      <c r="R740" s="7">
        <v>0</v>
      </c>
      <c r="S740" s="7">
        <v>124</v>
      </c>
      <c r="T740" s="7">
        <v>0</v>
      </c>
      <c r="U740" s="7">
        <v>0</v>
      </c>
      <c r="V740" s="9">
        <v>46189.853409826392</v>
      </c>
    </row>
    <row r="741" spans="1:22" x14ac:dyDescent="0.2">
      <c r="A741" s="8">
        <v>46184</v>
      </c>
      <c r="B741" s="7">
        <v>41</v>
      </c>
      <c r="C741" s="7">
        <v>2.5</v>
      </c>
      <c r="D741" s="7">
        <v>137787.66099999999</v>
      </c>
      <c r="E741" s="7">
        <v>0</v>
      </c>
      <c r="F741" s="7">
        <v>5649294.1200000001</v>
      </c>
      <c r="G741" s="7">
        <v>0</v>
      </c>
      <c r="H741" s="7">
        <v>0</v>
      </c>
      <c r="I741" s="7">
        <v>5649294.1200000001</v>
      </c>
      <c r="J741" s="7">
        <v>52000</v>
      </c>
      <c r="K741" s="7">
        <v>0</v>
      </c>
      <c r="L741" s="7">
        <v>994705.88</v>
      </c>
      <c r="M741" s="7">
        <v>6696000</v>
      </c>
      <c r="N741" s="7">
        <v>285714.28000000003</v>
      </c>
      <c r="O741" s="7">
        <v>5363579.84</v>
      </c>
      <c r="P741" s="7">
        <v>1549888</v>
      </c>
      <c r="Q741" s="7">
        <v>3813691.84</v>
      </c>
      <c r="R741" s="7">
        <v>0</v>
      </c>
      <c r="S741" s="7">
        <v>104</v>
      </c>
      <c r="T741" s="7">
        <v>0</v>
      </c>
      <c r="U741" s="7">
        <v>0</v>
      </c>
      <c r="V741" s="9">
        <v>46189.853409826392</v>
      </c>
    </row>
    <row r="742" spans="1:22" x14ac:dyDescent="0.2">
      <c r="A742" s="8">
        <v>46185</v>
      </c>
      <c r="B742" s="7">
        <v>18</v>
      </c>
      <c r="C742" s="7">
        <v>2.2999999999999998</v>
      </c>
      <c r="D742" s="7">
        <v>142591.03599999999</v>
      </c>
      <c r="E742" s="7">
        <v>-3</v>
      </c>
      <c r="F742" s="7">
        <v>3157689.06</v>
      </c>
      <c r="G742" s="7">
        <v>-477605.02</v>
      </c>
      <c r="H742" s="7">
        <v>-497899.16</v>
      </c>
      <c r="I742" s="7">
        <v>2182184.88</v>
      </c>
      <c r="J742" s="7">
        <v>56000</v>
      </c>
      <c r="K742" s="7">
        <v>0</v>
      </c>
      <c r="L742" s="7">
        <v>401315.12</v>
      </c>
      <c r="M742" s="7">
        <v>2639500</v>
      </c>
      <c r="N742" s="7">
        <v>184873.94</v>
      </c>
      <c r="O742" s="7">
        <v>1997310.94</v>
      </c>
      <c r="P742" s="7">
        <v>863614</v>
      </c>
      <c r="Q742" s="7">
        <v>1133696.94</v>
      </c>
      <c r="R742" s="7">
        <v>0</v>
      </c>
      <c r="S742" s="7">
        <v>40</v>
      </c>
      <c r="T742" s="7">
        <v>0</v>
      </c>
      <c r="U742" s="7">
        <v>0</v>
      </c>
      <c r="V742" s="9">
        <v>46189.853409826392</v>
      </c>
    </row>
    <row r="743" spans="1:22" x14ac:dyDescent="0.2">
      <c r="A743" s="8">
        <v>46186</v>
      </c>
      <c r="B743" s="7">
        <v>40</v>
      </c>
      <c r="C743" s="7">
        <v>2.1</v>
      </c>
      <c r="D743" s="7">
        <v>132669.95699999999</v>
      </c>
      <c r="E743" s="7">
        <v>0</v>
      </c>
      <c r="F743" s="7">
        <v>5306798.3</v>
      </c>
      <c r="G743" s="7">
        <v>0</v>
      </c>
      <c r="H743" s="7">
        <v>0</v>
      </c>
      <c r="I743" s="7">
        <v>5306798.3</v>
      </c>
      <c r="J743" s="7">
        <v>84000</v>
      </c>
      <c r="K743" s="7">
        <v>0</v>
      </c>
      <c r="L743" s="7">
        <v>968201.7</v>
      </c>
      <c r="M743" s="7">
        <v>6359000</v>
      </c>
      <c r="N743" s="7">
        <v>504201.68</v>
      </c>
      <c r="O743" s="7">
        <v>4802596.62</v>
      </c>
      <c r="P743" s="7">
        <v>1400994</v>
      </c>
      <c r="Q743" s="7">
        <v>3401602.62</v>
      </c>
      <c r="R743" s="7">
        <v>0</v>
      </c>
      <c r="S743" s="7">
        <v>83</v>
      </c>
      <c r="T743" s="7">
        <v>0</v>
      </c>
      <c r="U743" s="7">
        <v>0</v>
      </c>
      <c r="V743" s="9">
        <v>46189.853409826392</v>
      </c>
    </row>
    <row r="744" spans="1:22" x14ac:dyDescent="0.2">
      <c r="A744" s="8">
        <v>46187</v>
      </c>
      <c r="B744" s="7">
        <v>12</v>
      </c>
      <c r="C744" s="7">
        <v>1.8</v>
      </c>
      <c r="D744" s="7">
        <v>147163.86499999999</v>
      </c>
      <c r="E744" s="7">
        <v>0</v>
      </c>
      <c r="F744" s="7">
        <v>1798319.31</v>
      </c>
      <c r="G744" s="7">
        <v>-32352.92</v>
      </c>
      <c r="H744" s="7">
        <v>0</v>
      </c>
      <c r="I744" s="7">
        <v>1765966.39</v>
      </c>
      <c r="J744" s="7">
        <v>104000</v>
      </c>
      <c r="K744" s="7">
        <v>0</v>
      </c>
      <c r="L744" s="7">
        <v>335533.61</v>
      </c>
      <c r="M744" s="7">
        <v>2205500</v>
      </c>
      <c r="N744" s="7">
        <v>168067.23</v>
      </c>
      <c r="O744" s="7">
        <v>1597899.16</v>
      </c>
      <c r="P744" s="7">
        <v>487793</v>
      </c>
      <c r="Q744" s="7">
        <v>1110106.1599999999</v>
      </c>
      <c r="R744" s="7">
        <v>0</v>
      </c>
      <c r="S744" s="7">
        <v>21</v>
      </c>
      <c r="T744" s="7">
        <v>0</v>
      </c>
      <c r="U744" s="7">
        <v>0</v>
      </c>
      <c r="V744" s="9">
        <v>46189.853409826392</v>
      </c>
    </row>
    <row r="745" spans="1:22" x14ac:dyDescent="0.2">
      <c r="A745" s="8">
        <v>46188</v>
      </c>
      <c r="B745" s="7">
        <v>11</v>
      </c>
      <c r="C745" s="7">
        <v>1.9</v>
      </c>
      <c r="D745" s="7">
        <v>132941.17800000001</v>
      </c>
      <c r="E745" s="7">
        <v>0</v>
      </c>
      <c r="F745" s="7">
        <v>1842352.96</v>
      </c>
      <c r="G745" s="7">
        <v>-380000</v>
      </c>
      <c r="H745" s="7">
        <v>0</v>
      </c>
      <c r="I745" s="7">
        <v>1462352.96</v>
      </c>
      <c r="J745" s="7">
        <v>40000</v>
      </c>
      <c r="K745" s="7">
        <v>0</v>
      </c>
      <c r="L745" s="7">
        <v>262647.03999999998</v>
      </c>
      <c r="M745" s="7">
        <v>1765000</v>
      </c>
      <c r="N745" s="7">
        <v>0</v>
      </c>
      <c r="O745" s="7">
        <v>1462352.96</v>
      </c>
      <c r="P745" s="7">
        <v>541539</v>
      </c>
      <c r="Q745" s="7">
        <v>920813.96</v>
      </c>
      <c r="R745" s="7">
        <v>0</v>
      </c>
      <c r="S745" s="7">
        <v>21</v>
      </c>
      <c r="T745" s="7">
        <v>0</v>
      </c>
      <c r="U745" s="7">
        <v>0</v>
      </c>
      <c r="V745" s="9">
        <v>46189.853409826392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CC050-94CA-4CE1-8E6E-75DB44EC3568}">
  <sheetPr codeName="Sheet2"/>
  <dimension ref="B2:I13"/>
  <sheetViews>
    <sheetView showGridLines="0" workbookViewId="0">
      <selection activeCell="E13" sqref="E13"/>
    </sheetView>
  </sheetViews>
  <sheetFormatPr defaultRowHeight="12" x14ac:dyDescent="0.2"/>
  <cols>
    <col min="1" max="1" width="3.83203125" customWidth="1"/>
    <col min="2" max="2" width="21.33203125" bestFit="1" customWidth="1"/>
    <col min="3" max="3" width="23.1640625" customWidth="1"/>
    <col min="5" max="5" width="10.33203125" customWidth="1"/>
    <col min="6" max="6" width="13.83203125" customWidth="1"/>
    <col min="9" max="9" width="11.33203125" bestFit="1" customWidth="1"/>
    <col min="10" max="10" width="60.5" bestFit="1" customWidth="1"/>
    <col min="11" max="11" width="9" bestFit="1" customWidth="1"/>
    <col min="12" max="12" width="12.33203125" bestFit="1" customWidth="1"/>
    <col min="13" max="13" width="11.6640625" bestFit="1" customWidth="1"/>
    <col min="14" max="14" width="14" bestFit="1" customWidth="1"/>
  </cols>
  <sheetData>
    <row r="2" spans="2:9" ht="15" x14ac:dyDescent="0.2">
      <c r="B2" s="1" t="s">
        <v>0</v>
      </c>
    </row>
    <row r="4" spans="2:9" x14ac:dyDescent="0.2">
      <c r="B4" t="s">
        <v>1</v>
      </c>
      <c r="C4" s="2" t="s">
        <v>2</v>
      </c>
    </row>
    <row r="5" spans="2:9" x14ac:dyDescent="0.2">
      <c r="B5" t="s">
        <v>5</v>
      </c>
      <c r="C5" s="2" t="s">
        <v>6</v>
      </c>
    </row>
    <row r="7" spans="2:9" x14ac:dyDescent="0.2">
      <c r="I7" t="s">
        <v>38</v>
      </c>
    </row>
    <row r="8" spans="2:9" x14ac:dyDescent="0.2">
      <c r="B8" t="s">
        <v>7</v>
      </c>
      <c r="C8" s="3">
        <f ca="1">IF(I7="Inicio",I8,EOMONTH(ParamReportEndDate-365,-1)+1)</f>
        <v>45809</v>
      </c>
      <c r="H8" s="10" t="s">
        <v>37</v>
      </c>
      <c r="I8" s="8">
        <f>DATE(2021,12,5)</f>
        <v>44535</v>
      </c>
    </row>
    <row r="9" spans="2:9" x14ac:dyDescent="0.2">
      <c r="B9" t="s">
        <v>8</v>
      </c>
      <c r="C9" s="4">
        <f ca="1">TODAY()-1</f>
        <v>46188</v>
      </c>
    </row>
    <row r="11" spans="2:9" x14ac:dyDescent="0.2">
      <c r="B11" t="s">
        <v>9</v>
      </c>
      <c r="C11" s="5">
        <v>5</v>
      </c>
      <c r="E11" t="s">
        <v>10</v>
      </c>
    </row>
    <row r="13" spans="2:9" x14ac:dyDescent="0.2">
      <c r="B13" t="s">
        <v>11</v>
      </c>
      <c r="C13" s="4">
        <f ca="1">EOMONTH(ParamReportEndDate-E14,-1)+1</f>
        <v>46174</v>
      </c>
      <c r="E13">
        <v>0</v>
      </c>
    </row>
  </sheetData>
  <dataValidations count="1">
    <dataValidation type="list" allowBlank="1" showInputMessage="1" showErrorMessage="1" sqref="I7" xr:uid="{7C16B7B5-C5FC-4BC5-ADA2-6836BC0F34B3}">
      <formula1>"Inicio,Año"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D3C3-23E7-46FB-88D8-82909DEAA2C2}">
  <sheetPr codeName="Sheet4"/>
  <dimension ref="B2:D3"/>
  <sheetViews>
    <sheetView showGridLines="0" workbookViewId="0">
      <selection activeCell="B3" sqref="B3"/>
    </sheetView>
  </sheetViews>
  <sheetFormatPr defaultRowHeight="12" x14ac:dyDescent="0.2"/>
  <cols>
    <col min="1" max="1" width="3.83203125" customWidth="1"/>
    <col min="2" max="2" width="21.33203125" bestFit="1" customWidth="1"/>
    <col min="3" max="3" width="23.1640625" customWidth="1"/>
    <col min="5" max="5" width="10.33203125" customWidth="1"/>
    <col min="6" max="6" width="13.83203125" customWidth="1"/>
    <col min="9" max="9" width="11.33203125" bestFit="1" customWidth="1"/>
    <col min="10" max="10" width="60.5" bestFit="1" customWidth="1"/>
    <col min="11" max="11" width="9" bestFit="1" customWidth="1"/>
    <col min="12" max="12" width="12.33203125" bestFit="1" customWidth="1"/>
    <col min="13" max="13" width="11.6640625" bestFit="1" customWidth="1"/>
    <col min="14" max="14" width="14" bestFit="1" customWidth="1"/>
  </cols>
  <sheetData>
    <row r="2" spans="2:4" x14ac:dyDescent="0.2">
      <c r="B2" t="s">
        <v>12</v>
      </c>
      <c r="C2" t="s">
        <v>13</v>
      </c>
      <c r="D2" t="s">
        <v>14</v>
      </c>
    </row>
    <row r="3" spans="2:4" x14ac:dyDescent="0.2">
      <c r="B3" s="6">
        <v>46023</v>
      </c>
      <c r="C3" s="6">
        <v>46023</v>
      </c>
      <c r="D3" s="6">
        <v>46023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C3C7-6501-4289-82C6-0B9F75717470}">
  <sheetPr codeName="Sheet3"/>
  <dimension ref="B2:C2"/>
  <sheetViews>
    <sheetView workbookViewId="0">
      <selection activeCell="C2" sqref="C2"/>
    </sheetView>
  </sheetViews>
  <sheetFormatPr defaultRowHeight="12" x14ac:dyDescent="0.2"/>
  <sheetData>
    <row r="2" spans="2:3" x14ac:dyDescent="0.2">
      <c r="B2" t="s">
        <v>3</v>
      </c>
      <c r="C2" s="2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478F8E2-51CE-4202-B620-7684279F900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7</vt:i4>
      </vt:variant>
    </vt:vector>
  </HeadingPairs>
  <TitlesOfParts>
    <vt:vector size="12" baseType="lpstr">
      <vt:lpstr>Blank</vt:lpstr>
      <vt:lpstr>ExSalesBreakdownByPeriod</vt:lpstr>
      <vt:lpstr>Params</vt:lpstr>
      <vt:lpstr>Dummy</vt:lpstr>
      <vt:lpstr>AccessToken</vt:lpstr>
      <vt:lpstr>ParamAccessToken</vt:lpstr>
      <vt:lpstr>ParamApiVersion</vt:lpstr>
      <vt:lpstr>ParamReportEndDate</vt:lpstr>
      <vt:lpstr>ParamReportRefreshDate</vt:lpstr>
      <vt:lpstr>ParamReportStartDate</vt:lpstr>
      <vt:lpstr>ParamReportWeekStartDay</vt:lpstr>
      <vt:lpstr>ParamShopName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Diaz</dc:creator>
  <cp:lastModifiedBy>Ricardo Diaz</cp:lastModifiedBy>
  <dcterms:created xsi:type="dcterms:W3CDTF">2026-06-13T15:58:07Z</dcterms:created>
  <dcterms:modified xsi:type="dcterms:W3CDTF">2026-06-17T11:26:41Z</dcterms:modified>
</cp:coreProperties>
</file>